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Machinery" sheetId="3" state="visible" r:id="rId5"/>
    <sheet name="Pricing" sheetId="4" state="visible" r:id="rId6"/>
    <sheet name="Volumes" sheetId="5" state="visible" r:id="rId7"/>
    <sheet name="Energy" sheetId="6" state="visible" r:id="rId8"/>
    <sheet name="P&amp;L" sheetId="7" state="visible" r:id="rId9"/>
    <sheet name="Dat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<sst xmlns="http://schemas.openxmlformats.org/spreadsheetml/2006/main" count="2406" uniqueCount="742">
  <si>
    <t xml:space="preserve">KClinics Financial Model</t>
  </si>
  <si>
    <t xml:space="preserve">Built 2026-08-28 from the live K-Clinics catalogue + UK 2026 cost research. This workbook is the basis for refactoring pricing and cost structure for the brand — it does not touch the admin.</t>
  </si>
  <si>
    <t xml:space="preserve">HOW TO USE</t>
  </si>
  <si>
    <t xml:space="preserve">Blue text on a cream background = an input you edit. Everything else is a formula — change an input and the whole model (prices, energy, P&amp;L) recalculates.</t>
  </si>
  <si>
    <t xml:space="preserve">The three levers that matter most: the utilisation ramp (Volumes, blue row), the target margins by machine class (Pricing, top), and the machinery purchase prices (Machinery — replace class-typical estimates with your invoices).</t>
  </si>
  <si>
    <t xml:space="preserve">TABS</t>
  </si>
  <si>
    <t xml:space="preserve">Assumptions — every global input with its source. • Machinery — machines, enhancements, depreciation &amp; amortisation schedule. • Energy — seasonal A/C vs heating curve per room, base load, machine kWh, cost split. • Pricing — per-variant unit economics and recommended prices (the price architecture). • Volumes — capacity × utilisation × mix forecast. • P&amp;L — 36 monthly columns + annual totals: gross profit, EBITDA, net profit. • Data — raw catalogue extract (audit trail).</t>
  </si>
  <si>
    <t xml:space="preserve">CONVENTIONS</t>
  </si>
  <si>
    <t xml:space="preserve">Gross profit = net revenue − variable direct costs (consumables, machine energy &amp; service, card fees). Salaried staff are overheads. EBITDA excludes depreciation &amp; amortisation, which are charged below it. Monthly corporation tax is a flat 19% accrual; the annual columns apply the real 2026/27 bands (19% / 26.5% marginal / 25%). AIA means cash tax in a capex year will be lower than the accrual — the accounting P&amp;L still depreciates over asset life.</t>
  </si>
  <si>
    <t xml:space="preserve">VAT: the company is not VAT-registered. The P&amp;L tracks rolling 12-month taxable turnover and switches VAT on the month after it crosses £90k (override on Assumptions). Prices are held constant at registration, so VAT comes out of margin — that is why the Pricing tab prices for the registered state by default.</t>
  </si>
  <si>
    <t xml:space="preserve">CATALOGUE ISSUES FOUND DURING EXTRACTION (fix in admin before publishing new prices)</t>
  </si>
  <si>
    <t xml:space="preserve">• Laser Skin Resurfacing: the 5-session course (£450) is cheaper than the 3-session course (£480).</t>
  </si>
  <si>
    <t xml:space="preserve">• Tattoo removal 'Small' shares course totals with 'Very Small'.</t>
  </si>
  <si>
    <t xml:space="preserve">• 'Laser Hair Removal — Women' is flagged VAT-EXEMPT in the DB; the men's equivalent is standard-rated. Treated as a data error (modelled at 20%) — needs accountant sign-off.</t>
  </si>
  <si>
    <t xml:space="preserve">• botox-r9w5 duplicates botox-j2j7 (excluded); Red Carpet Lift BB Glow duplicates the BB Glow service; three inactive services still carry prices.</t>
  </si>
  <si>
    <t xml:space="preserve">KEY GAPS — the model flags these as estimates; replace with real figures</t>
  </si>
  <si>
    <t xml:space="preserve">• COGS: costPence is null on ALL 172 catalogue variants — every consumablesGBP figure in the treatments table is an assumption from supplier research, not a recorded cost. Highest sensitivity: HIFU cartridges (£30–£100/session; £300–£900 if Ultherapy-brand), HydraFacial serums (contract-tied), and all injectable vial/syringe costs (brand unknown — toxin and filler brands not recorded anywhere).</t>
  </si>
  <si>
    <t xml:space="preserve">• Floor area &amp; rent: no sqft anywhere in the codebase. Rent placeholder (£64k = 2,000 sqft x £32) and HVAC room size (15 m2/room) are pure assumptions — get the actual lease and floor plan.</t>
  </si>
  <si>
    <t xml:space="preserve">• Business rates: rateable value unknown — check VOA for 4 Charterhouse Buildings; outcome ranges from £0 (SBRR if RV≤£12k) to ~£15k+.</t>
  </si>
  <si>
    <t xml:space="preserve">• Machine ownership unverified for three classes: CO2 laser (intimate line COMING_SOON — owned or planned capex?), microcurrent/LED device (code says 'not yet in', catalogue and 6 bookings say otherwise), and the exact brands/purchase prices of the owned diode, IPL, HIFU, RF, Endosphere and HydraFacial units (all machinery capex figures are class-typical, not invoices).</t>
  </si>
  <si>
    <t xml:space="preserve">• Pico laser capex spans £12.5k–£175k depending on tier — a decision, not an estimate; tattoo/PMU revenue upside is pre-priced but gated on it.</t>
  </si>
  <si>
    <t xml:space="preserve">• Endosphere, CACI, CO2-gynae and Morpheus-class purchase prices are dealer-quote-only in the UK (no published list prices) — lowest-confidence capex figures.</t>
  </si>
  <si>
    <t xml:space="preserve">• kWh-per-treatment-hour values are engineering estimates from plate ratings and assumed duty cycles — no manufacturer publishes them. Financial impact is small (&lt;£0.50/treatment-hour) so precision is not required.</t>
  </si>
  <si>
    <t xml:space="preserve">• Gas supply unconfirmed — model assumes all-electric (TM46 convention for converted commercial); a gas meter on the lease would change the heating tariff from 27p to ~7p/kWh.</t>
  </si>
  <si>
    <t xml:space="preserve">• Demand/ramp: only 90 days of post-reopening bookings (225, startAt-based proxy — createdAt was unreachable), ~2.5/day against 9-room capacity; no conversion-rate, retention, or course-uptake data. The revenue ramp and course-vs-single mix (courses discount ~15%) are the model's dominant free assumptions.</t>
  </si>
  <si>
    <t xml:space="preserve">• Course pricing inconsistencies in the live catalogue: Laser Skin Resurfacing 5-session course (£450) is cheaper than the 3-session (£480); tattoo-removal Small shares course totals with Very Small. Fix before publishing a pricing architecture.</t>
  </si>
  <si>
    <t xml:space="preserve">• Duplicate/overlapping services in the DB: botox-r9w5 duplicates botox-j2j7 (excluded here); Red Carpet Lift BB Glow duplicates the BB Glow service; three inactive services (carbon-laser-peel, caci, red-carpet-lift) carry prices — confirm intended state. Per-variant active flags are not serialized by the admin page, so some included variants may actually be off.</t>
  </si>
  <si>
    <t xml:space="preserve">• VAT: women's-LHR EXEMPT flag treated as a data error (modelled 20%) — needs owner/accountant sign-off; VAT registration date is a modelling switch with no set date; energy VAT rate (5% vs 20%) depends on the de-minimis 33 kWh/day test.</t>
  </si>
  <si>
    <t xml:space="preserve">• Owner remuneration and developer/platform maintenance time are unmodelled labour costs — both need explicit assumptions.</t>
  </si>
  <si>
    <t xml:space="preserve">• Membership: an 'Ultimate Skin Membership' appears in 9 historical bookings but no current membership product or price exists — recurring-revenue line is a design decision, not an input.</t>
  </si>
  <si>
    <t xml:space="preserve">• Dental: entirely excluded from the base model (not live, separate company, no price sheet) — the £70k single-surgery capex figure is carried only as a deferred-scenario input.</t>
  </si>
  <si>
    <t xml:space="preserve">• Dental rooms: 2 of the 11 rooms are dental-fitted and unusable for aesthetics — base-case capacity uses 9 rooms; confirm they are not being used as overflow treatment rooms.</t>
  </si>
  <si>
    <t xml:space="preserve">PROVENANCE</t>
  </si>
  <si>
    <t xml:space="preserve">Catalogue &amp; bookings: live production DB (read-only) via authenticated admin scrape, 2026-08-28. Cost benchmarks: web research Aug 2026 — Ofgem/business tariff comparisons (energy), UK equipment vendors (machinery), UK clinic industry norms (staff, rent, marketing, insurance). Basis noted next to every assumption.</t>
  </si>
  <si>
    <t xml:space="preserve">Assumptions — every editable input in the model</t>
  </si>
  <si>
    <t xml:space="preserve">Blue on cream = edit me. Column D says where each number came from. Nothing else in the workbook is hardcoded.</t>
  </si>
  <si>
    <t xml:space="preserve">CLINIC &amp; CAPACITY</t>
  </si>
  <si>
    <t xml:space="preserve">Model start month</t>
  </si>
  <si>
    <t xml:space="preserve">date</t>
  </si>
  <si>
    <t xml:space="preserve">First forecast month. Clinic re-opened 30 May 2026; model starts Sep 2026.</t>
  </si>
  <si>
    <t xml:space="preserve">Usable treatment rooms</t>
  </si>
  <si>
    <t xml:space="preserve">rooms</t>
  </si>
  <si>
    <t xml:space="preserve">11 active rooms in DB (3 Aesthetics, 2 Dental, 6 Treatment); 2 dental rooms excluded until dentistry launches (separate company). ESTIMATE — confirm dental rooms are not used as overflow.</t>
  </si>
  <si>
    <t xml:space="preserve">Rooms heated/cooled (HVAC)</t>
  </si>
  <si>
    <t xml:space="preserve">Rooms actively conditioned. Set to 11 if dental rooms are kept conditioned while mothballed.</t>
  </si>
  <si>
    <t xml:space="preserve">Open days per week</t>
  </si>
  <si>
    <t xml:space="preserve">days</t>
  </si>
  <si>
    <t xml:space="preserve">Live booking hours imply ~57 open hours/week.</t>
  </si>
  <si>
    <t xml:space="preserve">Open hours per day</t>
  </si>
  <si>
    <t xml:space="preserve">hours</t>
  </si>
  <si>
    <t xml:space="preserve">57 open hours/week ÷ 6 days.</t>
  </si>
  <si>
    <t xml:space="preserve">Assumed room size</t>
  </si>
  <si>
    <t xml:space="preserve">m²</t>
  </si>
  <si>
    <t xml:space="preserve">ASSUMPTION — no floor area in codebase or lease data. Drives the HVAC curve on the Energy tab.</t>
  </si>
  <si>
    <t xml:space="preserve">STAFFING</t>
  </si>
  <si>
    <t xml:space="preserve">Practitioner salary</t>
  </si>
  <si>
    <t xml:space="preserve">£/yr</t>
  </si>
  <si>
    <t xml:space="preserve">Glassdoor London aesthetic practitioner avg £41,155; skin &amp; laser therapist UK avg £38,637, London upper half; hourly £14–£25</t>
  </si>
  <si>
    <t xml:space="preserve">Receptionist salary</t>
  </si>
  <si>
    <t xml:space="preserve">Indeed London £29,652 / PayScale £26,494; London private-clinic roles £24k–£30k</t>
  </si>
  <si>
    <t xml:space="preserve">Owner salary (market rate)</t>
  </si>
  <si>
    <t xml:space="preserve">GAP — owner remuneration undefined. £48k market-rate placeholder so owner labour is not modelled as free. Set to your actual salary/dividend policy.</t>
  </si>
  <si>
    <t xml:space="preserve">Employer on-cost multiplier</t>
  </si>
  <si>
    <t xml:space="preserve">×</t>
  </si>
  <si>
    <t xml:space="preserve">2026/27 employer NI 15% above £5,000 secondary threshold + 3% auto-enrolment pension on qualifying earnings (£6,240–£50,270) = ~15–17% on-cost for £25k–£45k staff; Employment Allowance can offset first £10,500 of NI if eligible</t>
  </si>
  <si>
    <t xml:space="preserve">Practitioners — headcount Y1 / Y2 / Y3</t>
  </si>
  <si>
    <t xml:space="preserve">Y1 in column B, Y2 in column C, Y3 in column E. Defaults 2/3/5 track the default utilisation ramp.</t>
  </si>
  <si>
    <t xml:space="preserve">Receptionists — headcount Y1 / Y2 / Y3</t>
  </si>
  <si>
    <t xml:space="preserve">Y1 in column B, Y2 in column C, Y3 in column E.</t>
  </si>
  <si>
    <t xml:space="preserve">Practitioner productive treatment hours/week</t>
  </si>
  <si>
    <t xml:space="preserve">hrs</t>
  </si>
  <si>
    <t xml:space="preserve">Hours actually treating (vs admin/gaps) — drives labour cost per session in Pricing.</t>
  </si>
  <si>
    <t xml:space="preserve">Working weeks per year</t>
  </si>
  <si>
    <t xml:space="preserve">wks</t>
  </si>
  <si>
    <t xml:space="preserve">52 minus holiday/sickness/training.</t>
  </si>
  <si>
    <t xml:space="preserve">Loaded practitioner cost per treatment hour</t>
  </si>
  <si>
    <t xml:space="preserve">£/hr</t>
  </si>
  <si>
    <t xml:space="preserve">Calculated: salary × on-cost ÷ (working weeks × productive hours). Used in Pricing unit economics.</t>
  </si>
  <si>
    <t xml:space="preserve">Practitioner capacity per month</t>
  </si>
  <si>
    <t xml:space="preserve">hrs/mo</t>
  </si>
  <si>
    <t xml:space="preserve">Per practitioner FTE — used by the P&amp;L capacity check.</t>
  </si>
  <si>
    <t xml:space="preserve">ENERGY</t>
  </si>
  <si>
    <t xml:space="preserve">Electricity unit rate</t>
  </si>
  <si>
    <t xml:space="preserve">p/kWh</t>
  </si>
  <si>
    <t xml:space="preserve">Aug 2026 UK small-business market: AquaSwitch/BusinessEnergyDeals average ~29.6p, competitive fixed deals 20–23p; Ofgem Jul–Sep 2026 domestic cap 26.11p cross-check. 27p chosen as central figure for a micro-business on a 2026 fixed deal; small businesses pay 20% VAT on energy unless &lt;33 kWh/day.</t>
  </si>
  <si>
    <t xml:space="preserve">Standing charge</t>
  </si>
  <si>
    <t xml:space="preserve">p/day</t>
  </si>
  <si>
    <t xml:space="preserve">BusinessEnergyDeals/AquaSwitch Aug 2026: average 55.3p/day small business, supplier range 34.7–105.9p.</t>
  </si>
  <si>
    <t xml:space="preserve">Base load (lighting, fridge, autoclave, PCs)</t>
  </si>
  <si>
    <t xml:space="preserve">kWh/day</t>
  </si>
  <si>
    <t xml:space="preserve">Bottom-up: LED lighting 5–8 kWh, autoclave cycles 2–4 kWh, medical/skincare fridge 1.5–3 kWh (24/7), PCs/screens/kiosk 1.5–3 kWh, misc 1–3 kWh. Consistent with Ofgem micro-business band (5,000–15,000 kWh/yr) minus HVAC.</t>
  </si>
  <si>
    <t xml:space="preserve">Heating &amp; cooling</t>
  </si>
  <si>
    <t xml:space="preserve">see Energy tab</t>
  </si>
  <si>
    <t xml:space="preserve">NO GAS MODELLED — 4 Charterhouse Buildings (converted Clerkenwell building) assumed all-electric per CIBSE TM46 'general retail' zero fossil-thermal convention; heating via reverse-cycle splits at COP 3 on the electricity tariff. Confirm no gas meter on the lease (gap). Seasonal per-room kWh curve is editable on the Energy tab.</t>
  </si>
  <si>
    <t xml:space="preserve">PROPERTY</t>
  </si>
  <si>
    <t xml:space="preserve">Rent</t>
  </si>
  <si>
    <t xml:space="preserve">NO FLOOR AREA IN CODEBASE. Placeholder = 2,000 sqft x £32/sqft. Goswell Rd EC1M comparables Aug 2026: £27–£34/sqft (1,283 sqft at £35k pa; 972 sqft at £2,750/mo); Charterhouse Buildings is secondary frontage — use £30–£35/sqft, NOT prime Clerkenwell £50+. An 11-room clinic implies roughly 1,800–3,000 sqft; get the actual lease figure (gap).</t>
  </si>
  <si>
    <t xml:space="preserve">Business rates</t>
  </si>
  <si>
    <t xml:space="preserve">RV unknown — check VOA. 2026/27 RHL small multiplier 38.2p/£ (RV&lt;£51k) if retail/hospitality/leisure status granted; general small multiplier 48p otherwise; RV ≤ £12k = nil via Small Business Rate Relief. Placeholder assumes RV ~£30k x 38.2p.</t>
  </si>
  <si>
    <t xml:space="preserve">Service charge / building costs</t>
  </si>
  <si>
    <t xml:space="preserve">Unknown — set from the lease.</t>
  </si>
  <si>
    <t xml:space="preserve">OTHER OVERHEADS</t>
  </si>
  <si>
    <t xml:space="preserve">Insurance (treatment risk + PL + laser cover)</t>
  </si>
  <si>
    <t xml:space="preserve">Hamilton Fraser/PolicyBee: PI+PL from £300–£600; £1m treatment liability incl. laser/IPL from £573; device-based laser cover adds £500–£2,000. Laser-led clinic with employed staff typically £1,000–£3,000. Laser claims are ~half of insurer claims (avg payout £4,307) — do not skimp.</t>
  </si>
  <si>
    <t xml:space="preserve">Platform hosting &amp; infra</t>
  </si>
  <si>
    <t xml:space="preserve">£/mo</t>
  </si>
  <si>
    <t xml:space="preserve">OVERRIDES the £100/mo benchmark: K-Clinics runs its OWN booking/CRM/admin platform (this repo, Vercel + Postgres/Neon) — no third-party licence. Line = hosting/infra: Vercel Pro ~£16/mo + Neon + email/VoIP (yay.com) + AI API usage, ~£30–£100/mo. Flag: developer/maintenance time is an unmodelled cost (gap).</t>
  </si>
  <si>
    <t xml:space="preserve">Card processing fee</t>
  </si>
  <si>
    <t xml:space="preserve">% of card takings</t>
  </si>
  <si>
    <t xml:space="preserve">UK SMB blended 2026: SumUp 1.69%/Square 1.75% in-person, 2.5% online/payment links. Stripe card-on-file (SetupIntent) flow in use — online-rate share will pull the blend toward 2%+; apply to ~95% of turnover (assume near-cashless).</t>
  </si>
  <si>
    <t xml:space="preserve">Card share of turnover</t>
  </si>
  <si>
    <t xml:space="preserve">%</t>
  </si>
  <si>
    <t xml:space="preserve">Near-cashless assumption (Stripe card-on-file flow in use).</t>
  </si>
  <si>
    <t xml:space="preserve">Cleaning &amp; sundries</t>
  </si>
  <si>
    <t xml:space="preserve">ESTIMATE — laundry, room consumables not tied to treatments, waste disposal (clinical waste contract).</t>
  </si>
  <si>
    <t xml:space="preserve">Other fixed costs</t>
  </si>
  <si>
    <t xml:space="preserve">ESTIMATE — accountancy, bank, phone/VoIP, misc subscriptions.</t>
  </si>
  <si>
    <t xml:space="preserve">MARKETING</t>
  </si>
  <si>
    <t xml:space="preserve">Marketing % of net revenue — Y1 / Y2 / Y3</t>
  </si>
  <si>
    <t xml:space="preserve">UK aesthetic clinic benchmarks (Pulse Digital, Aesthetic Launch Lab): growing clinics 7–12%, new clinics 12–15%; single-site commit £1.5k–£5k/mo. Paid-ads CAC ~£45/booked consultation (£30–£60). Clinic reopened May 2026 — use 12–15% (or the £1,500 floor if higher) for year 1, taper to 8–10%. Y1 in B, Y2 in C, Y3 in E.</t>
  </si>
  <si>
    <t xml:space="preserve">Marketing monthly floor</t>
  </si>
  <si>
    <t xml:space="preserve">Spend floor while revenue is small — you cannot ramp without visibility. CAC benchmark ~£45/booked consultation.</t>
  </si>
  <si>
    <t xml:space="preserve">VAT &amp; TAX</t>
  </si>
  <si>
    <t xml:space="preserve">VAT standard rate</t>
  </si>
  <si>
    <t xml:space="preserve">STANDARD-RATED 20%. All 36 null-vatClass services derive as STANDARD in the app. The 'Laser Hair Removal — Women' EXEMPT flag is treated as a DATA-ENTRY ERROR, not a tax fact: UK medical exemption requires a genuine medical purpose by a regulated professional (Illuminate Skin Clinics v HMRC UT 2025; Advanced Hair Technology; HMRC actively scrutinising clinics 2026), and the men's counterpart is standard-rated. Model 20% on the whole aesthetics catalogue; log the flag for correction.</t>
  </si>
  <si>
    <t xml:space="preserve">VAT registration threshold</t>
  </si>
  <si>
    <t xml:space="preserve">£ rolling 12-mo</t>
  </si>
  <si>
    <t xml:space="preserve">KCLINICS SKIN &amp; LASER LIMITED (co. 17101088) is NOT VAT registered. Mandatory registration at £90,000 rolling 12-month taxable turnover — a hard modelling constraint: the model must track cumulative taxable turnover and switch on 20% output VAT (a ~16.7% net-revenue cut unless prices rise) at the crossing date, likely within year 1 at any plausible ramp.</t>
  </si>
  <si>
    <t xml:space="preserve">Taxable turnover in the 12 months before model start</t>
  </si>
  <si>
    <t xml:space="preserve">£</t>
  </si>
  <si>
    <t xml:space="preserve">ESTIMATE from 225 bookings in the 90 days post-reopening — feeds the rolling-12-month VAT threshold tracker in P&amp;L. Replace with the real figure from your accounts.</t>
  </si>
  <si>
    <t xml:space="preserve">VAT registration month override</t>
  </si>
  <si>
    <t xml:space="preserve">month # (0 = auto)</t>
  </si>
  <si>
    <t xml:space="preserve">0 = the model registers you automatically the month after rolling 12-mo turnover crosses the threshold. Set 1–36 to force a date; prices are held (VAT absorbed out of margin) — see README.</t>
  </si>
  <si>
    <t xml:space="preserve">Corporation tax — small profits rate / limit</t>
  </si>
  <si>
    <t xml:space="preserve">2026/27: 19% to £50,000; 26.5% effective £50k–£250k (marginal relief); 25% main rate. Annual columns in P&amp;L apply the bands properly.</t>
  </si>
  <si>
    <t xml:space="preserve">Corporation tax — marginal band rate / upper limit</t>
  </si>
  <si>
    <t xml:space="preserve">Effective rate between the limits via marginal relief.</t>
  </si>
  <si>
    <t xml:space="preserve">Corporation tax — main rate</t>
  </si>
  <si>
    <t xml:space="preserve">Annual Investment Allowance: 100% first-year TAX deduction on qualifying plant &amp; machinery (all lasers/devices/fit-out; full expensing also available on new main-rate plant). TIMING benefit only — the accounting P&amp;L still depreciates machinery straight-line over the life-years in the machinery table (4–9 yrs). MODEL TAX AND BOOK DEPRECIATION SEPARATELY: expect tax losses / minimal CT in the capex year, deferred-tax style divergence after.</t>
  </si>
  <si>
    <t xml:space="preserve">Machinery, enhancements, depreciation &amp; amortisation</t>
  </si>
  <si>
    <t xml:space="preserve">Purchase prices are class-typical UK market figures (see basis column) — replace with your invoice amounts. In-service month: 0 = owned before the model starts; 1–36 = bought in that forecast month; blank = not owned (excluded). Planned hours/month is only the allocation base for service &amp; depreciation per treatment hour in Pricing.</t>
  </si>
  <si>
    <t xml:space="preserve">Machine</t>
  </si>
  <si>
    <t xml:space="preserve">Class key</t>
  </si>
  <si>
    <t xml:space="preserve">Ownership</t>
  </si>
  <si>
    <t xml:space="preserve">Purchase £</t>
  </si>
  <si>
    <t xml:space="preserve">In-service month</t>
  </si>
  <si>
    <t xml:space="preserve">Life (yrs)</t>
  </si>
  <si>
    <t xml:space="preserve">Monthly depreciation</t>
  </si>
  <si>
    <t xml:space="preserve">kWh per treatment hr</t>
  </si>
  <si>
    <t xml:space="preserve">Annual service £</t>
  </si>
  <si>
    <t xml:space="preserve">Planned hours/mo</t>
  </si>
  <si>
    <t xml:space="preserve">Service £/hr</t>
  </si>
  <si>
    <t xml:space="preserve">Depreciation £/hr</t>
  </si>
  <si>
    <t xml:space="preserve">Consumables model</t>
  </si>
  <si>
    <t xml:space="preserve">Basis</t>
  </si>
  <si>
    <t xml:space="preserve">Diode laser hair-removal platform</t>
  </si>
  <si>
    <t xml:space="preserve">diode-laser</t>
  </si>
  <si>
    <t xml:space="preserve">OWNED (serves 63% of recent non-consultation bookings)</t>
  </si>
  <si>
    <t xml:space="preserve">£1–£3.50/session gel + razors (scaled by area in treatments table); handpiece stack rated 1M+ shots, replacement is a maintenance event not a per-session cost</t>
  </si>
  <si>
    <t xml:space="preserve">UK trade listings (thelasermachineco, britishlasers): clinic-grade £8k–£15k, premium £30k–£60k; typical premium-clinic buy £18k–£35k. Service ~10% of typical price per britishlasers contract range £1k–£3.5k. kWh: plate 2–3.5 kW at 25–40% duty (engineering estimate).</t>
  </si>
  <si>
    <t xml:space="preserve">Multi-application laser/IPL skin platform (shared 'laser' resource pool; may be same combi chassis as diode — Lynton Lumina class covers both for £30k–£50k)</t>
  </si>
  <si>
    <t xml:space="preserve">laser-ipl-platform</t>
  </si>
  <si>
    <t xml:space="preserve">OWNED (pigmentation/vascular/IPL/rejuvenation/resurfacing/rosacea/wrinkle/spider-vein/carbon-peel/fungal-nail all book against it)</t>
  </si>
  <si>
    <t xml:space="preserve">£2/session gel; £5–£7 carbon lotion for Hollywood Peel; IPL flashlamp refurb £500–£1,500 per handpiece every ~50k–100k pulses (treat as maintenance)</t>
  </si>
  <si>
    <t xml:space="preserve">Lumenis Stellar M22 £45k–£70k; Lynton Lumina £28k–£50k. Service £2k–£5k/yr (Lynton/Lumenis UK contracts, 6–8% of price). Duty 25–35% of plate 1.5–3 kW.</t>
  </si>
  <si>
    <t xml:space="preserve">Q-switched/picosecond tattoo &amp; pigment laser</t>
  </si>
  <si>
    <t xml:space="preserve">pico-laser-PLANNED</t>
  </si>
  <si>
    <t xml:space="preserve">NOT YET PURCHASED — phase-2 capex; tattoo/PMU pages live with prices, bookings closed</t>
  </si>
  <si>
    <t xml:space="preserve">~£1–£2.50/session (gel, wipes, aftercare dressings) — negligible; service contract is the real running cost (8–10% of purchase)</t>
  </si>
  <si>
    <t xml:space="preserve">PicoSure Pro/PicoWay £90k–£175k; mid-tier Quanta/Lutronic £50k–£80k; Far-East pico £12.5k; Q-switched Nd:YAG alternative £15k–£40k. Model as a capex decision with three price scenarios — £110k premium figure only holds if buying PicoSure-class.</t>
  </si>
  <si>
    <t xml:space="preserve">Fractional CO2 laser with intimate/gynae handpiece</t>
  </si>
  <si>
    <t xml:space="preserve">co2-laser</t>
  </si>
  <si>
    <t xml:space="preserve">VERIFY — intimate line is COMING_SOON; codebase confirms the treatment tech but not that the unit is on site</t>
  </si>
  <si>
    <t xml:space="preserve">£20–£80/session single-use gynae probe covers/hygiene sleeves + numbing cream (£50 midpoint used in treatments table)</t>
  </si>
  <si>
    <t xml:space="preserve">Deka SmartXide/Alma FemiLift £40k–£90k with intimate handpiece; generic £5k–£15k; premium-clinic buy £45k–£65k. RF-excited tubes last 8–12 yrs. Service 6–8% of purchase.</t>
  </si>
  <si>
    <t xml:space="preserve">HIFU (SMAS ultrasound) with face + body cartridges</t>
  </si>
  <si>
    <t xml:space="preserve">hifu</t>
  </si>
  <si>
    <t xml:space="preserve">OWNED (live bookings)</t>
  </si>
  <si>
    <t xml:space="preserve">SHOT-LIMITED CARTRIDGES — the largest device consumable line: £30–£100/session Ultraformer-class (£40 small area / £65 full face / £80 body used in treatments table); would be £300–£900/session if Ultherapy transducers. Plus gel.</t>
  </si>
  <si>
    <t xml:space="preserve">Classys Ultraformer III/MPT £25k–£40k UK; Ultherapy £30k–£60k; generic 7D £3k–£8k. Cartridges ~10k–20k shots at £300–£600 each. Service £1.5k–£3k/yr. Duty 30–40% of 0.5–1 kW plate.</t>
  </si>
  <si>
    <t xml:space="preserve">Radiofrequency skin-tightening device</t>
  </si>
  <si>
    <t xml:space="preserve">rf-tightening</t>
  </si>
  <si>
    <t xml:space="preserve">OWNED (live bookings under rf-lifting/rf-skin-tightening)</t>
  </si>
  <si>
    <t xml:space="preserve">£2–£5/session conductive gel (plain RF — catalogue has no RF-microneedling, so no Morpheus8-style £100–£180 tips)</t>
  </si>
  <si>
    <t xml:space="preserve">BTL Exilis Ultra £30k–£45k; mid-tier £5k–£15k; premium tier £30k–£50k. Service 5–8% of purchase. Near-continuous RF delivery, duty 40–60%.</t>
  </si>
  <si>
    <t xml:space="preserve">HydraFacial-style vortex facial platform</t>
  </si>
  <si>
    <t xml:space="preserve">hydrafacial-platform</t>
  </si>
  <si>
    <t xml:space="preserve">£15–£25/session tips + branded serums, scaling with tier (Signature £15 / Deluxe £20 / Platinum £25); genuine HydraFacial ties serum purchase to warranty. Deep Cleansing menu on same platform at £8–£15/session products.</t>
  </si>
  <si>
    <t xml:space="preserve">Genuine HydraFacial Syndeo/Elite £20k–£32k UK; clones £3k–£8k. Consumables $20–$30/treatment (konmison/workee).</t>
  </si>
  <si>
    <t xml:space="preserve">Endosphere compressive micro-vibration + anti-cellulite vacuum body platform</t>
  </si>
  <si>
    <t xml:space="preserve">endosphere-vacuum</t>
  </si>
  <si>
    <t xml:space="preserve">OWNED (body-contouring + vacuum-massage bookings)</t>
  </si>
  <si>
    <t xml:space="preserve">£1–£3/session oil/cream/disposable bodysuits</t>
  </si>
  <si>
    <t xml:space="preserve">Endospheres AK Body dealer pricing ~€25k–€35k (~£21k–£30k, baltic-lasers.eu) — DEALER-QUOTE ESTIMATE, not published list price. Service/roller refurb ~5% of price. Motor runs near-continuously at 0.3–0.5 kW.</t>
  </si>
  <si>
    <t xml:space="preserve">Microneedling pen (+ BB Glow micro-channelling)</t>
  </si>
  <si>
    <t xml:space="preserve">microneedling-pen</t>
  </si>
  <si>
    <t xml:space="preserve">£5–£35/session sterile needle cartridge + serum (SkinPen cartridges £25–£35, generic £5–£20); BB Glow tinted ampoule £5–£15 extra</t>
  </si>
  <si>
    <t xml:space="preserve">SkinPen Precision £2k–£3.5k, Dermapen 4 £3k–£5.5k. Negligible power. Battery/handpiece wear limits life to 3–5 yrs.</t>
  </si>
  <si>
    <t xml:space="preserve">Microdermabrasion device (diamond-tip/crystal)</t>
  </si>
  <si>
    <t xml:space="preserve">microdermabrasion</t>
  </si>
  <si>
    <t xml:space="preserve">OWNED (1 booking in 90d)</t>
  </si>
  <si>
    <t xml:space="preserve">£1–£3/session filters + disposable tips (crystals £3–£5 if crystal type)</t>
  </si>
  <si>
    <t xml:space="preserve">UK professional diamond-tip units £1.2k–£6k, typical £2.5k–£3.5k. Vacuum pump 0.2–0.4 kW near-continuous.</t>
  </si>
  <si>
    <t xml:space="preserve">Microcurrent facial toning device + LED panel</t>
  </si>
  <si>
    <t xml:space="preserve">microcurrent-led</t>
  </si>
  <si>
    <t xml:space="preserve">AMBIGUOUS — codebase marks microcurrent/LED 'onRequest, machine not yet in', but the live catalogue lists Microcurrent lifting and LED as NORMAL and there are 6 microcurrent-facial bookings in 90d. Assume a non-CACI-branded unit is on site; confirm with owner.</t>
  </si>
  <si>
    <t xml:space="preserve">£2–£5/session conductive gel, cotton buds; hydra mask +£5; LED session ~£1</t>
  </si>
  <si>
    <t xml:space="preserve">CACI Synergy £14k–£17k inc training, Ultimate £18k–£22k, Classic £9k–£12k (dealer channel, prices on application). If the on-site unit is a generic microcurrent+LED device the capex could be £2k–£5k — use the low end unless CACI-branded purchase is confirmed.</t>
  </si>
  <si>
    <t xml:space="preserve">Injectables room (no machine): electric couch + MHRA-compliant medical fridge + sharps/emergency kit</t>
  </si>
  <si>
    <t xml:space="preserve">none-injectables</t>
  </si>
  <si>
    <t xml:space="preserve">OWNED</t>
  </si>
  <si>
    <t xml:space="preserve">DOMINANT COGS LINE: toxin vials £45–£85/tx by area count, HA filler £35–£85/tx by ml, fat-dissolving vials £35–£75/tx, polynucleotides £70–£100/tx, meso cocktails £25/tx, plus needles/cannulae/numbing (in per-row figures). Fridge runs 24/7: ~1.5–3 kWh/day counted in base load, not per-treatment.</t>
  </si>
  <si>
    <t xml:space="preserve">Couch £700–£2,500, pharmacy fridge £400–£1,500, kit £200–£500. Injectable COGS from UK aesthetic wholesale norms (Church Pharmacy tier) — brand-dependent estimates, no recorded costs.</t>
  </si>
  <si>
    <t xml:space="preserve">Topical/manual treatment room kit (couch, trolley, steamer, hot cabinet)</t>
  </si>
  <si>
    <t xml:space="preserve">none-manual</t>
  </si>
  <si>
    <t xml:space="preserve">£1.50–£15/session: peel solutions + neutralisers £10–£15, massage oils £2–£4, masks/towels/products £3–£8</t>
  </si>
  <si>
    <t xml:space="preserve">UK salon equipment norms; steamer ~0.3 kW only while on.</t>
  </si>
  <si>
    <t xml:space="preserve">ENHANCEMENTS &amp; FIT-OUT (amortised)</t>
  </si>
  <si>
    <t xml:space="preserve">Item</t>
  </si>
  <si>
    <t xml:space="preserve">Notes</t>
  </si>
  <si>
    <t xml:space="preserve">Cost £</t>
  </si>
  <si>
    <t xml:space="preserve">Monthly amortisation</t>
  </si>
  <si>
    <t xml:space="preserve">Initial fit-out / leasehold improvements</t>
  </si>
  <si>
    <t xml:space="preserve">GAP — fit-out spend on 4 Charterhouse Buildings unknown. Enter the capitalised amount; it amortises over the life you set.</t>
  </si>
  <si>
    <t xml:space="preserve">EXAMPLE — reception refresh (edit or zero out)</t>
  </si>
  <si>
    <t xml:space="preserve">Example row showing the expected format.</t>
  </si>
  <si>
    <t xml:space="preserve">Planned enhancement 2</t>
  </si>
  <si>
    <t xml:space="preserve">Planned enhancement 3</t>
  </si>
  <si>
    <t xml:space="preserve">Planned enhancement 4</t>
  </si>
  <si>
    <t xml:space="preserve">MONTHLY D&amp;A SCHEDULE (feeds P&amp;L)</t>
  </si>
  <si>
    <t xml:space="preserve">Month #</t>
  </si>
  <si>
    <t xml:space="preserve">Total depreciation (machines)</t>
  </si>
  <si>
    <t xml:space="preserve">Total amortisation (enhancements)</t>
  </si>
  <si>
    <t xml:space="preserve">Treatment pricing architecture — unit economics per variant</t>
  </si>
  <si>
    <t xml:space="preserve">Every recommended price is a formula: fully-loaded cost ÷ (1 − target margin − card-fee drag), then VAT, then rounding. Change the levers below or any machine/labour assumption and the whole price list moves. Current prices scraped from the live admin catalogue on 2026-08-28. Recorded COGS is empty on every variant, so consumables are researched estimates (blue).</t>
  </si>
  <si>
    <t xml:space="preserve">LEVERS</t>
  </si>
  <si>
    <t xml:space="preserve">Price for the VAT-registered state? (1 = yes)</t>
  </si>
  <si>
    <t xml:space="preserve">1 = recommended prices keep their margin AFTER VAT registration (the safe basis for a durable price list). 0 = price for today's unregistered state.</t>
  </si>
  <si>
    <t xml:space="preserve">Round recommended prices to nearest £</t>
  </si>
  <si>
    <t xml:space="preserve">1, 5 or 9 — e.g. 5 gives £85/£90-style pricing.</t>
  </si>
  <si>
    <t xml:space="preserve">Course discount — 3 sessions</t>
  </si>
  <si>
    <t xml:space="preserve">Per-session discount vs single price. Current live courses average ~15% off.</t>
  </si>
  <si>
    <t xml:space="preserve">Course discount — 6 sessions</t>
  </si>
  <si>
    <t xml:space="preserve">Course discount — 10 sessions</t>
  </si>
  <si>
    <t xml:space="preserve">TARGET CONTRIBUTION MARGIN BY MACHINE CLASS</t>
  </si>
  <si>
    <t xml:space="preserve">Class</t>
  </si>
  <si>
    <t xml:space="preserve">Target margin</t>
  </si>
  <si>
    <t xml:space="preserve">Margin = (net revenue − fully-loaded cost) ÷ net revenue. Fully-loaded cost includes consumables, machine energy, machine service &amp; depreciation per hour, practitioner time and card fees.</t>
  </si>
  <si>
    <t xml:space="preserve">Service</t>
  </si>
  <si>
    <t xml:space="preserve">Variant</t>
  </si>
  <si>
    <t xml:space="preserve">Category</t>
  </si>
  <si>
    <t xml:space="preserve">Status</t>
  </si>
  <si>
    <t xml:space="preserve">Machine class</t>
  </si>
  <si>
    <t xml:space="preserve">Internal min</t>
  </si>
  <si>
    <t xml:space="preserve">Machine min</t>
  </si>
  <si>
    <t xml:space="preserve">VAT %</t>
  </si>
  <si>
    <t xml:space="preserve">Current price £</t>
  </si>
  <si>
    <t xml:space="preserve">Current net £</t>
  </si>
  <si>
    <t xml:space="preserve">Consumables £</t>
  </si>
  <si>
    <t xml:space="preserve">Machine energy £</t>
  </si>
  <si>
    <t xml:space="preserve">Machine service £</t>
  </si>
  <si>
    <t xml:space="preserve">Machine depreciation £</t>
  </si>
  <si>
    <t xml:space="preserve">Practitioner £</t>
  </si>
  <si>
    <t xml:space="preserve">Card fee £</t>
  </si>
  <si>
    <t xml:space="preserve">Fully-loaded cost £</t>
  </si>
  <si>
    <t xml:space="preserve">Contribution £</t>
  </si>
  <si>
    <t xml:space="preserve">Contribution %</t>
  </si>
  <si>
    <t xml:space="preserve">Target %</t>
  </si>
  <si>
    <t xml:space="preserve">Recommended net £</t>
  </si>
  <si>
    <t xml:space="preserve">Recommended price £</t>
  </si>
  <si>
    <t xml:space="preserve">Δ vs current</t>
  </si>
  <si>
    <t xml:space="preserve">Course 3 rec £</t>
  </si>
  <si>
    <t xml:space="preserve">Course 6 rec £</t>
  </si>
  <si>
    <t xml:space="preserve">Course 10 rec £</t>
  </si>
  <si>
    <t xml:space="preserve">Current course 6 £</t>
  </si>
  <si>
    <t xml:space="preserve">Current 6-course discount</t>
  </si>
  <si>
    <t xml:space="preserve">Sellable</t>
  </si>
  <si>
    <t xml:space="preserve">Laser Hair Removal — Women</t>
  </si>
  <si>
    <t xml:space="preserve">Bikini Line</t>
  </si>
  <si>
    <t xml:space="preserve">aesthetics</t>
  </si>
  <si>
    <t xml:space="preserve">CONSULTATION</t>
  </si>
  <si>
    <t xml:space="preserve">Brazilian</t>
  </si>
  <si>
    <t xml:space="preserve">Hollywood Brazilian (incl. Peri-Anal)</t>
  </si>
  <si>
    <t xml:space="preserve">Behind (Peri-Anal)</t>
  </si>
  <si>
    <t xml:space="preserve">Brazilian/Bikini &amp; Underarms</t>
  </si>
  <si>
    <t xml:space="preserve">Hollywood Brazilian (incl. Peri-Anal) &amp; Underarms</t>
  </si>
  <si>
    <t xml:space="preserve">Hollywood Brazilian (incl. Peri-Anal) &amp; Full Legs</t>
  </si>
  <si>
    <t xml:space="preserve">Full Leg &amp; Underarms</t>
  </si>
  <si>
    <t xml:space="preserve">Lower Leg, Brazilian/Bikini &amp; Underarms</t>
  </si>
  <si>
    <t xml:space="preserve">Full Legs, Brazilian/Bikini &amp; Underarms</t>
  </si>
  <si>
    <t xml:space="preserve">Full Legs, Hollywood Brazilian (incl. Peri-Anal) &amp; Underarms</t>
  </si>
  <si>
    <t xml:space="preserve">Eyebrows (middle, above bridge of nose)</t>
  </si>
  <si>
    <t xml:space="preserve">Lip</t>
  </si>
  <si>
    <t xml:space="preserve">Chin</t>
  </si>
  <si>
    <t xml:space="preserve">Sides of Face</t>
  </si>
  <si>
    <t xml:space="preserve">Lip &amp; Chin</t>
  </si>
  <si>
    <t xml:space="preserve">Jawline &amp; Chin</t>
  </si>
  <si>
    <t xml:space="preserve">½ Face (forehead–nose or upper lip–chin)</t>
  </si>
  <si>
    <t xml:space="preserve">Front of Neck</t>
  </si>
  <si>
    <t xml:space="preserve">Back of Neck</t>
  </si>
  <si>
    <t xml:space="preserve">Full Face</t>
  </si>
  <si>
    <t xml:space="preserve">Full Face &amp; Neck</t>
  </si>
  <si>
    <t xml:space="preserve">Underarms</t>
  </si>
  <si>
    <t xml:space="preserve">Snail Trail / Naval</t>
  </si>
  <si>
    <t xml:space="preserve">Stomach</t>
  </si>
  <si>
    <t xml:space="preserve">Shoulders</t>
  </si>
  <si>
    <t xml:space="preserve">½ Arms</t>
  </si>
  <si>
    <t xml:space="preserve">Chest</t>
  </si>
  <si>
    <t xml:space="preserve">Chest &amp; Stomach</t>
  </si>
  <si>
    <t xml:space="preserve">Full Arms</t>
  </si>
  <si>
    <t xml:space="preserve">Fingers &amp; Toes</t>
  </si>
  <si>
    <t xml:space="preserve">Feet &amp; Toes</t>
  </si>
  <si>
    <t xml:space="preserve">Buttocks</t>
  </si>
  <si>
    <t xml:space="preserve">Half Body</t>
  </si>
  <si>
    <t xml:space="preserve">Lower Leg</t>
  </si>
  <si>
    <t xml:space="preserve">Full Legs</t>
  </si>
  <si>
    <t xml:space="preserve">Full Body</t>
  </si>
  <si>
    <t xml:space="preserve">Laser Hair Removal — Men</t>
  </si>
  <si>
    <t xml:space="preserve">Centre Brow</t>
  </si>
  <si>
    <t xml:space="preserve">ACTIVE</t>
  </si>
  <si>
    <t xml:space="preserve">Full Beard</t>
  </si>
  <si>
    <t xml:space="preserve">Full Beard &amp; Neck</t>
  </si>
  <si>
    <t xml:space="preserve">Lower Back</t>
  </si>
  <si>
    <t xml:space="preserve">Full Back</t>
  </si>
  <si>
    <t xml:space="preserve">Full Back &amp; Shoulders</t>
  </si>
  <si>
    <t xml:space="preserve">Full Back, Shoulders, Chest &amp; Stomach</t>
  </si>
  <si>
    <t xml:space="preserve">Full Body (excl. face)</t>
  </si>
  <si>
    <t xml:space="preserve">Male Brazilian</t>
  </si>
  <si>
    <t xml:space="preserve">Lower Legs</t>
  </si>
  <si>
    <t xml:space="preserve">Any Male Bikini (incl. Peri-Anal)</t>
  </si>
  <si>
    <t xml:space="preserve">Intimate Rejuvenation</t>
  </si>
  <si>
    <t xml:space="preserve">CO2 Laser Rejuvenation</t>
  </si>
  <si>
    <t xml:space="preserve">COMING_SOON</t>
  </si>
  <si>
    <t xml:space="preserve">Intimate Area Whitening</t>
  </si>
  <si>
    <t xml:space="preserve">Laser Pigmentation Removal</t>
  </si>
  <si>
    <t xml:space="preserve">Face</t>
  </si>
  <si>
    <t xml:space="preserve">Vascular Lesions Treatment</t>
  </si>
  <si>
    <t xml:space="preserve">Spider Veins Removal</t>
  </si>
  <si>
    <t xml:space="preserve">Nose Thread Vein</t>
  </si>
  <si>
    <t xml:space="preserve">Cheek Thread Vein</t>
  </si>
  <si>
    <t xml:space="preserve">Leg Thread Vein</t>
  </si>
  <si>
    <t xml:space="preserve">Carbon Laser Facial (Hollywood Peel)</t>
  </si>
  <si>
    <t xml:space="preserve">Neck</t>
  </si>
  <si>
    <t xml:space="preserve">INACTIVE</t>
  </si>
  <si>
    <t xml:space="preserve">Face &amp; Neck</t>
  </si>
  <si>
    <t xml:space="preserve">Face, Neck &amp; Décolleté</t>
  </si>
  <si>
    <t xml:space="preserve">Laser Fungal Nail Treatment</t>
  </si>
  <si>
    <t xml:space="preserve">1 Foot</t>
  </si>
  <si>
    <t xml:space="preserve">2 Feet</t>
  </si>
  <si>
    <t xml:space="preserve">Laser Tattoo Removal</t>
  </si>
  <si>
    <t xml:space="preserve">Very Small (1–3 cm)</t>
  </si>
  <si>
    <t xml:space="preserve">Small (4–6 cm)</t>
  </si>
  <si>
    <t xml:space="preserve">Medium (7–15 cm)</t>
  </si>
  <si>
    <t xml:space="preserve">Large (16–20 cm)</t>
  </si>
  <si>
    <t xml:space="preserve">X-Large (21 cm+)</t>
  </si>
  <si>
    <t xml:space="preserve">Permanent Make-Up Removal</t>
  </si>
  <si>
    <t xml:space="preserve">Eyebrows</t>
  </si>
  <si>
    <t xml:space="preserve">HydraFacial</t>
  </si>
  <si>
    <t xml:space="preserve">Signature Express (30 min)</t>
  </si>
  <si>
    <t xml:space="preserve">Full Face Deluxe (50 min)</t>
  </si>
  <si>
    <t xml:space="preserve">Platinum — Anti-Acne (60 min)</t>
  </si>
  <si>
    <t xml:space="preserve">Platinum — Collagen (60 min)</t>
  </si>
  <si>
    <t xml:space="preserve">Platinum — Pigmentation &amp; Sun Damage (60 min)</t>
  </si>
  <si>
    <t xml:space="preserve">Platinum — Anti-Ageing (60 min)</t>
  </si>
  <si>
    <t xml:space="preserve">Platinum — Brightening (60 min)</t>
  </si>
  <si>
    <t xml:space="preserve">SMAS HIFU Lifting</t>
  </si>
  <si>
    <t xml:space="preserve">Eyebrow Lift</t>
  </si>
  <si>
    <t xml:space="preserve">Forehead Lift</t>
  </si>
  <si>
    <t xml:space="preserve">Neck Lift</t>
  </si>
  <si>
    <t xml:space="preserve">Jawline Lift</t>
  </si>
  <si>
    <t xml:space="preserve">Outer Thighs</t>
  </si>
  <si>
    <t xml:space="preserve">Inner Thighs</t>
  </si>
  <si>
    <t xml:space="preserve">Back &amp; Flanks</t>
  </si>
  <si>
    <t xml:space="preserve">Buttock</t>
  </si>
  <si>
    <t xml:space="preserve">Skin Above the Knee Caps</t>
  </si>
  <si>
    <t xml:space="preserve">Arms (bingo wings)</t>
  </si>
  <si>
    <t xml:space="preserve">Cosmetic Peels</t>
  </si>
  <si>
    <t xml:space="preserve">Fat-Dissolving Injections</t>
  </si>
  <si>
    <t xml:space="preserve">Small Area (under chin)</t>
  </si>
  <si>
    <t xml:space="preserve">Medium Area (Stomach, Bingo Wings, Knees)</t>
  </si>
  <si>
    <t xml:space="preserve">Large Area (Thighs, Waist, Stomach)</t>
  </si>
  <si>
    <t xml:space="preserve">RF Lifting</t>
  </si>
  <si>
    <t xml:space="preserve">IPL Phototherapy</t>
  </si>
  <si>
    <t xml:space="preserve">Laser Skin Rejuvenation</t>
  </si>
  <si>
    <t xml:space="preserve">Laser Skin Resurfacing</t>
  </si>
  <si>
    <t xml:space="preserve">Endosphere Body Contouring</t>
  </si>
  <si>
    <t xml:space="preserve">BodySphere 30 min</t>
  </si>
  <si>
    <t xml:space="preserve">BodySphere 45 min</t>
  </si>
  <si>
    <t xml:space="preserve">BodySphere 60 min</t>
  </si>
  <si>
    <t xml:space="preserve">BodySphere &amp; Facial Massage 60 min</t>
  </si>
  <si>
    <t xml:space="preserve">CACI Treatment</t>
  </si>
  <si>
    <t xml:space="preserve">CACI Face &amp; Neck Lift</t>
  </si>
  <si>
    <t xml:space="preserve">CACI with Hydra Mask</t>
  </si>
  <si>
    <t xml:space="preserve">CACI Jaw Line Lift</t>
  </si>
  <si>
    <t xml:space="preserve">Microcurrent</t>
  </si>
  <si>
    <t xml:space="preserve">Red Carpet Lift</t>
  </si>
  <si>
    <t xml:space="preserve">BB Glow</t>
  </si>
  <si>
    <t xml:space="preserve">Massage</t>
  </si>
  <si>
    <t xml:space="preserve">Deep Tissue Massage</t>
  </si>
  <si>
    <t xml:space="preserve">Swedish Massage</t>
  </si>
  <si>
    <t xml:space="preserve">Back, Neck &amp; Shoulders Massage</t>
  </si>
  <si>
    <t xml:space="preserve">Relaxing Massage</t>
  </si>
  <si>
    <t xml:space="preserve">Hot Stone Massage</t>
  </si>
  <si>
    <t xml:space="preserve">Full Body Massage</t>
  </si>
  <si>
    <t xml:space="preserve">Lymphatic Drainage Massage</t>
  </si>
  <si>
    <t xml:space="preserve">Microneedling</t>
  </si>
  <si>
    <t xml:space="preserve">Microneedling for face</t>
  </si>
  <si>
    <t xml:space="preserve">Microneedling for face and neck</t>
  </si>
  <si>
    <t xml:space="preserve">Microneedling with hyaluronic acid serum or exosome serum</t>
  </si>
  <si>
    <t xml:space="preserve">Vacuum massage</t>
  </si>
  <si>
    <t xml:space="preserve">Vacuum massage (30 min)</t>
  </si>
  <si>
    <t xml:space="preserve">Vacuum massage (45 min)</t>
  </si>
  <si>
    <t xml:space="preserve">Vacuum massage (60 min)</t>
  </si>
  <si>
    <t xml:space="preserve">Deep Cleansing</t>
  </si>
  <si>
    <t xml:space="preserve">Deep Cleansing Classic</t>
  </si>
  <si>
    <t xml:space="preserve">Deep Cleansing with LED Therapy</t>
  </si>
  <si>
    <t xml:space="preserve">Deep Cleansing with Alginate Mask</t>
  </si>
  <si>
    <t xml:space="preserve">Deep Cleansing with Peel</t>
  </si>
  <si>
    <t xml:space="preserve">LED Light Therapy</t>
  </si>
  <si>
    <t xml:space="preserve">Facial LED Light Therapy</t>
  </si>
  <si>
    <t xml:space="preserve">Face&amp;Head Massage</t>
  </si>
  <si>
    <t xml:space="preserve">Head Massage</t>
  </si>
  <si>
    <t xml:space="preserve">Face Massage 15 min</t>
  </si>
  <si>
    <t xml:space="preserve">Face Massage 30 min</t>
  </si>
  <si>
    <t xml:space="preserve">Indian Head Massage</t>
  </si>
  <si>
    <t xml:space="preserve">Microdermabrasion</t>
  </si>
  <si>
    <t xml:space="preserve">Microcurrent lifting</t>
  </si>
  <si>
    <t xml:space="preserve">Microcurrent lifting face &amp; neck lift</t>
  </si>
  <si>
    <t xml:space="preserve">Microcurrent lifting with hydra mask</t>
  </si>
  <si>
    <t xml:space="preserve">Botox</t>
  </si>
  <si>
    <t xml:space="preserve">Ladie's Anti-Wrinkle 1 area</t>
  </si>
  <si>
    <t xml:space="preserve">Ladie's Anti-Wrinkle 2 area</t>
  </si>
  <si>
    <t xml:space="preserve">Ladie's Anti-Wrinkle 3 area</t>
  </si>
  <si>
    <t xml:space="preserve">Men's Anti-Wrinkle 1 area</t>
  </si>
  <si>
    <t xml:space="preserve">Men's Anti-Wrinkle 2 area</t>
  </si>
  <si>
    <t xml:space="preserve">Men's Anti-Wrinkle 3 area</t>
  </si>
  <si>
    <t xml:space="preserve">Lip Filler</t>
  </si>
  <si>
    <t xml:space="preserve">Lip Filler 0.5 ml</t>
  </si>
  <si>
    <t xml:space="preserve">Lip Filler 0.7 ml</t>
  </si>
  <si>
    <t xml:space="preserve">Lip Filler 1 ml</t>
  </si>
  <si>
    <t xml:space="preserve">Lip Filler 1.5 ml</t>
  </si>
  <si>
    <t xml:space="preserve">Mesotherapy</t>
  </si>
  <si>
    <t xml:space="preserve">Mesotherapy Under Eyes</t>
  </si>
  <si>
    <t xml:space="preserve">Mesotherapy Full Face</t>
  </si>
  <si>
    <t xml:space="preserve">Mesotherapy Decolletage</t>
  </si>
  <si>
    <t xml:space="preserve">Mesotherapy Hair Growth</t>
  </si>
  <si>
    <t xml:space="preserve">Mesotherapy Neck</t>
  </si>
  <si>
    <t xml:space="preserve">Polynucleotides</t>
  </si>
  <si>
    <t xml:space="preserve">Polynucleotides Face</t>
  </si>
  <si>
    <t xml:space="preserve">Polynucleotides Eyes</t>
  </si>
  <si>
    <t xml:space="preserve">Polynucleotides Hair Rejuvenation</t>
  </si>
  <si>
    <t xml:space="preserve">Rejuran Healer - Advanced Polynucleotides</t>
  </si>
  <si>
    <t xml:space="preserve">Rosacea Treatment</t>
  </si>
  <si>
    <t xml:space="preserve">Rosacea Treatment Face</t>
  </si>
  <si>
    <t xml:space="preserve">Laser Wrinkles Removal</t>
  </si>
  <si>
    <t xml:space="preserve">Laser Wrinkles Removal Face</t>
  </si>
  <si>
    <t xml:space="preserve">Volume &amp; revenue forecast — capacity × utilisation × mix</t>
  </si>
  <si>
    <t xml:space="preserve">Room capacity comes from Assumptions. The utilisation ramp (blue row) is THE dominant free assumption — current run-rate is ~3% (225 bookings in the 90 days after the May 2026 reopening). Mix % splits treated hours across machine classes; seeded from live booking mix. Per-class average price/cost auto-computed from the Pricing tab (sellable variants); use the blue override column to demand-weight.</t>
  </si>
  <si>
    <t xml:space="preserve">Family</t>
  </si>
  <si>
    <t xml:space="preserve">Avg session min (auto)</t>
  </si>
  <si>
    <t xml:space="preserve">Min override</t>
  </si>
  <si>
    <t xml:space="preserve">Min used</t>
  </si>
  <si>
    <t xml:space="preserve">Avg price £ (auto)</t>
  </si>
  <si>
    <t xml:space="preserve">Price override</t>
  </si>
  <si>
    <t xml:space="preserve">Price used £</t>
  </si>
  <si>
    <t xml:space="preserve">Avg direct cost £ (auto)</t>
  </si>
  <si>
    <t xml:space="preserve">Cost override</t>
  </si>
  <si>
    <t xml:space="preserve">Cost used £</t>
  </si>
  <si>
    <t xml:space="preserve">Machine min/session</t>
  </si>
  <si>
    <t xml:space="preserve">kWh/treatment hr</t>
  </si>
  <si>
    <t xml:space="preserve">Hours mix %</t>
  </si>
  <si>
    <t xml:space="preserve">Laser hair removal (diode)</t>
  </si>
  <si>
    <t xml:space="preserve">IPL / laser skin</t>
  </si>
  <si>
    <t xml:space="preserve">HIFU lifting</t>
  </si>
  <si>
    <t xml:space="preserve">RF tightening</t>
  </si>
  <si>
    <t xml:space="preserve">HydraFacial &amp; facials</t>
  </si>
  <si>
    <t xml:space="preserve">Body contouring (Endosphere/vacuum)</t>
  </si>
  <si>
    <t xml:space="preserve">Microneedling &amp; BB Glow</t>
  </si>
  <si>
    <t xml:space="preserve">Microcurrent &amp; LED</t>
  </si>
  <si>
    <t xml:space="preserve">Injectables</t>
  </si>
  <si>
    <t xml:space="preserve">Peels, massage &amp; manual</t>
  </si>
  <si>
    <t xml:space="preserve">CO2 laser (intimate) — coming soon</t>
  </si>
  <si>
    <t xml:space="preserve">Tattoo/pigment removal (pico) — not yet purchased</t>
  </si>
  <si>
    <t xml:space="preserve">Consultations (no revenue)</t>
  </si>
  <si>
    <t xml:space="preserve">consultation</t>
  </si>
  <si>
    <t xml:space="preserve">Mix check (must be 100%)</t>
  </si>
  <si>
    <t xml:space="preserve">MONTHLY FORECAST</t>
  </si>
  <si>
    <t xml:space="preserve">Month</t>
  </si>
  <si>
    <t xml:space="preserve">Days open</t>
  </si>
  <si>
    <t xml:space="preserve">Room-hours available</t>
  </si>
  <si>
    <t xml:space="preserve">Utilisation % (EDIT — the model's biggest lever)</t>
  </si>
  <si>
    <t xml:space="preserve">Treated hours</t>
  </si>
  <si>
    <t xml:space="preserve">  hours</t>
  </si>
  <si>
    <t xml:space="preserve">  sessions</t>
  </si>
  <si>
    <t xml:space="preserve">  gross revenue</t>
  </si>
  <si>
    <t xml:space="preserve">  direct costs</t>
  </si>
  <si>
    <t xml:space="preserve">  machine kWh</t>
  </si>
  <si>
    <t xml:space="preserve">TOTAL gross booking revenue</t>
  </si>
  <si>
    <t xml:space="preserve">TOTAL direct costs (consumables+machine energy+service)</t>
  </si>
  <si>
    <t xml:space="preserve">TOTAL machine kWh</t>
  </si>
  <si>
    <t xml:space="preserve">TOTAL sessions</t>
  </si>
  <si>
    <t xml:space="preserve">Revenue-generating treated hours</t>
  </si>
  <si>
    <t xml:space="preserve">Energy — heating &amp; cooling by season, base load, machine consumption</t>
  </si>
  <si>
    <t xml:space="preserve">Assumes 15 m2/room (ASSUMPTION — no floor area in codebase). Cooling: CIBSE ~40 kWh/m2/yr = 600 kWh/room/yr, weighted Jun 20% / Jul 30% / Aug 30% / May+Sep 15% / rest 5%. Heating: 85 kWh/m2/yr delivered (mid of 50–120) / COP 3 = 425 kWh electricity/room/yr, weighted Dec–Feb 55% / Nov+Mar 30% / Oct+Apr 15%. Annual total ~1,025 kWh/room. Split A/C sizing cross-check: 2.5–3.5 kW cooling unit at 0.5–1.4 kW input, 3–8 kWh/room/day in Jul–Aug — consistent.</t>
  </si>
  <si>
    <t xml:space="preserve">Sanity check from research: 9 rooms x ~1,025 kWh HVAC + 12 kWh/day x 365 base + ~1,500–2,500 kWh machines = ~15,000–16,500 kWh/yr = ~£4,100–£4,700/yr at 27p + £200 standing. Within CIBSE TM46 general-retail 165 kWh/m2/yr for a ~100–140 m2 unit.</t>
  </si>
  <si>
    <t xml:space="preserve">HVAC kWh per room per month (EDIT — winter = heating via A/C heat pump, summer = cooling)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</si>
  <si>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</si>
  <si>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</si>
  <si>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</si>
  <si>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</si>
  <si>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</si>
  <si>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</si>
  <si>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</si>
  <si>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</si>
  <si>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</si>
  <si>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</si>
  <si>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</si>
  <si>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</si>
  <si>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kWh/room</t>
  </si>
  <si>
    <t xml:space="preserve">MONTHLY ENERGY MODEL</t>
  </si>
  <si>
    <t xml:space="preserve">Days in month</t>
  </si>
  <si>
    <t xml:space="preserve">HVAC kWh (rooms × seasonal curve)</t>
  </si>
  <si>
    <t xml:space="preserve">Base load kWh</t>
  </si>
  <si>
    <t xml:space="preserve">Machine kWh (from Volumes)</t>
  </si>
  <si>
    <t xml:space="preserve">Total kWh</t>
  </si>
  <si>
    <t xml:space="preserve">Machine energy cost £ (direct — already inside Pricing/Volumes direct costs)</t>
  </si>
  <si>
    <t xml:space="preserve">Facility energy cost £ (HVAC + base + standing — to P&amp;L overheads)</t>
  </si>
  <si>
    <t xml:space="preserve">P&amp;L forecast — 36 months + annual summary</t>
  </si>
  <si>
    <t xml:space="preserve">Gross profit = net revenue − variable direct costs (consumables, machine energy &amp; service, card fees). Salaried practitioners sit in overheads: they are capacity, not per-unit cost. Monthly corporation tax is a flat 19% accrual on positive months; the annual columns apply the real 19%/26.5%/25% bands. VAT switches on automatically when the rolling 12-month turnover tracker (bottom) crosses the threshold — prices are held, so VAT comes out of margin.</t>
  </si>
  <si>
    <t xml:space="preserve">Year 1</t>
  </si>
  <si>
    <t xml:space="preserve">Year 2</t>
  </si>
  <si>
    <t xml:space="preserve">Year 3</t>
  </si>
  <si>
    <t xml:space="preserve">Gross booking revenue</t>
  </si>
  <si>
    <t xml:space="preserve">      cumulative gross revenue</t>
  </si>
  <si>
    <t xml:space="preserve">      rolling 12-mo taxable turnover (incl. pre-model estimate)</t>
  </si>
  <si>
    <t xml:space="preserve">      VAT-registered this month? (1/0)</t>
  </si>
  <si>
    <t xml:space="preserve">Output VAT (prices held — VAT absorbed)</t>
  </si>
  <si>
    <t xml:space="preserve">Net revenue</t>
  </si>
  <si>
    <t xml:space="preserve">    Consumables, machine energy &amp; service</t>
  </si>
  <si>
    <t xml:space="preserve">    Card processing fees</t>
  </si>
  <si>
    <t xml:space="preserve">GROSS PROFIT</t>
  </si>
  <si>
    <t xml:space="preserve">Gross margin %</t>
  </si>
  <si>
    <t xml:space="preserve">    Staff (practitioners, reception, owner)</t>
  </si>
  <si>
    <t xml:space="preserve">    Rent</t>
  </si>
  <si>
    <t xml:space="preserve">    Business rates</t>
  </si>
  <si>
    <t xml:space="preserve">    Service charge</t>
  </si>
  <si>
    <t xml:space="preserve">    Facility energy (HVAC, base load, standing)</t>
  </si>
  <si>
    <t xml:space="preserve">    Marketing</t>
  </si>
  <si>
    <t xml:space="preserve">    Insurance</t>
  </si>
  <si>
    <t xml:space="preserve">    Platform hosting &amp; infra</t>
  </si>
  <si>
    <t xml:space="preserve">    Cleaning &amp; sundries</t>
  </si>
  <si>
    <t xml:space="preserve">    Other fixed</t>
  </si>
  <si>
    <t xml:space="preserve">EBITDA</t>
  </si>
  <si>
    <t xml:space="preserve">EBITDA margin %</t>
  </si>
  <si>
    <t xml:space="preserve">    Depreciation (machinery)</t>
  </si>
  <si>
    <t xml:space="preserve">    Amortisation (enhancements/fit-out)</t>
  </si>
  <si>
    <t xml:space="preserve">EBIT</t>
  </si>
  <si>
    <t xml:space="preserve">    Interest / finance costs (EDIT if machines financed)</t>
  </si>
  <si>
    <t xml:space="preserve">Profit before tax</t>
  </si>
  <si>
    <t xml:space="preserve">    Corporation tax (monthly ≈ 19% accrual; annual = banded)</t>
  </si>
  <si>
    <t xml:space="preserve">NET PROFIT</t>
  </si>
  <si>
    <t xml:space="preserve">Net margin %</t>
  </si>
  <si>
    <t xml:space="preserve">Practitioner-hours needed (revenue treatments)</t>
  </si>
  <si>
    <t xml:space="preserve">Practitioner-hours available (headcount + owner)</t>
  </si>
  <si>
    <t xml:space="preserve">CAPACITY CHECK</t>
  </si>
  <si>
    <t xml:space="preserve">Raw catalogue extract — audit trail for the Pricing tab</t>
  </si>
  <si>
    <t xml:space="preserve">Source: live production database via authenticated admin scrape, 2026-08-28. Prices in pence as stored. costPence is NULL on every variant (no recorded COGS).</t>
  </si>
  <si>
    <t xml:space="preserve">Service slug</t>
  </si>
  <si>
    <t xml:space="preserve">vatClass (stored)</t>
  </si>
  <si>
    <t xml:space="preserve">Service status</t>
  </si>
  <si>
    <t xml:space="preserve">durationMin</t>
  </si>
  <si>
    <t xml:space="preserve">displayDurationMin</t>
  </si>
  <si>
    <t xml:space="preserve">pricePence</t>
  </si>
  <si>
    <t xml:space="preserve">costPence</t>
  </si>
  <si>
    <t xml:space="preserve">courses (JSON)</t>
  </si>
  <si>
    <t xml:space="preserve">Variant status</t>
  </si>
  <si>
    <t xml:space="preserve">lhr-women</t>
  </si>
  <si>
    <t xml:space="preserve">EXEMPT</t>
  </si>
  <si>
    <t xml:space="preserve">[{"sessions": 3, "totalPence": 9600}, {"sessions": 6, "totalPence": 18000}, {"sessions": 10, "totalPence": 28000}]</t>
  </si>
  <si>
    <t xml:space="preserve">[{"sessions": 3, "totalPence": 12300}, {"sessions": 6, "totalPence": 23400}, {"sessions": 10, "totalPence": 36000}]</t>
  </si>
  <si>
    <t xml:space="preserve">[{"sessions": 3, "totalPence": 14000}, {"sessions": 6, "totalPence": 23400}, {"sessions": 10, "totalPence": 37000}]</t>
  </si>
  <si>
    <t xml:space="preserve">[{"sessions": 3, "totalPence": 7100}, {"sessions": 6, "totalPence": 12700}, {"sessions": 10, "totalPence": 18000}]</t>
  </si>
  <si>
    <t xml:space="preserve">[{"sessions": 3, "totalPence": 17400}, {"sessions": 6, "totalPence": 33600}, {"sessions": 10, "totalPence": 53000}]</t>
  </si>
  <si>
    <t xml:space="preserve">[{"sessions": 3, "totalPence": 18000}, {"sessions": 6, "totalPence": 34200}, {"sessions": 10, "totalPence": 54000}]</t>
  </si>
  <si>
    <t xml:space="preserve">[{"sessions": 3, "totalPence": 34500}, {"sessions": 6, "totalPence": 66000}, {"sessions": 10, "totalPence": 108000}]</t>
  </si>
  <si>
    <t xml:space="preserve">[{"sessions": 3, "totalPence": 33300}, {"sessions": 6, "totalPence": 59400}, {"sessions": 10, "totalPence": 93000}]</t>
  </si>
  <si>
    <t xml:space="preserve">[{"sessions": 3, "totalPence": 25600}, {"sessions": 6, "totalPence": 45600}, {"sessions": 10, "totalPence": 67900}]</t>
  </si>
  <si>
    <t xml:space="preserve">[{"sessions": 3, "totalPence": 32800}, {"sessions": 6, "totalPence": 51800}, {"sessions": 10, "totalPence": 79400}]</t>
  </si>
  <si>
    <t xml:space="preserve">[{"sessions": 3, "totalPence": 39700}, {"sessions": 6, "totalPence": 65600}, {"sessions": 10, "totalPence": 102400}]</t>
  </si>
  <si>
    <t xml:space="preserve">[{"sessions": 3, "totalPence": 3000}, {"sessions": 6, "totalPence": 5400}, {"sessions": 10, "totalPence": 7000}]</t>
  </si>
  <si>
    <t xml:space="preserve">[{"sessions": 3, "totalPence": 4200}, {"sessions": 6, "totalPence": 7800}, {"sessions": 10, "totalPence": 12000}]</t>
  </si>
  <si>
    <t xml:space="preserve">[{"sessions": 3, "totalPence": 6600}, {"sessions": 6, "totalPence": 12600}, {"sessions": 10, "totalPence": 20000}]</t>
  </si>
  <si>
    <t xml:space="preserve">[{"sessions": 3, "totalPence": 7600}, {"sessions": 6, "totalPence": 13800}, {"sessions": 10, "totalPence": 20700}]</t>
  </si>
  <si>
    <t xml:space="preserve">[{"sessions": 3, "totalPence": 8000}, {"sessions": 6, "totalPence": 14500}, {"sessions": 10, "totalPence": 22500}]</t>
  </si>
  <si>
    <t xml:space="preserve">[{"sessions": 3, "totalPence": 11400}, {"sessions": 6, "totalPence": 21600}, {"sessions": 10, "totalPence": 34000}]</t>
  </si>
  <si>
    <t xml:space="preserve">[{"sessions": 3, "totalPence": 13000}, {"sessions": 6, "totalPence": 22800}, {"sessions": 10, "totalPence": 35100}]</t>
  </si>
  <si>
    <t xml:space="preserve">[{"sessions": 3, "totalPence": 9400}, {"sessions": 6, "totalPence": 17300}, {"sessions": 10, "totalPence": 25300}]</t>
  </si>
  <si>
    <t xml:space="preserve">[{"sessions": 3, "totalPence": 15600}, {"sessions": 6, "totalPence": 30000}, {"sessions": 10, "totalPence": 44900}]</t>
  </si>
  <si>
    <t xml:space="preserve">[{"sessions": 3, "totalPence": 19000}, {"sessions": 6, "totalPence": 34500}, {"sessions": 10, "totalPence": 51800}]</t>
  </si>
  <si>
    <t xml:space="preserve">[{"sessions": 3, "totalPence": 4400}, {"sessions": 6, "totalPence": 7600}, {"sessions": 10, "totalPence": 11500}]</t>
  </si>
  <si>
    <t xml:space="preserve">[{"sessions": 3, "totalPence": 8000}, {"sessions": 6, "totalPence": 13800}, {"sessions": 10, "totalPence": 20000}]</t>
  </si>
  <si>
    <t xml:space="preserve">[{"sessions": 3, "totalPence": 11400}, {"sessions": 6, "totalPence": 20100}, {"sessions": 10, "totalPence": 28800}]</t>
  </si>
  <si>
    <t xml:space="preserve">[{"sessions": 3, "totalPence": 16600}, {"sessions": 6, "totalPence": 30400}, {"sessions": 10, "totalPence": 44900}]</t>
  </si>
  <si>
    <t xml:space="preserve">[{"sessions": 3, "totalPence": 19000}, {"sessions": 6, "totalPence": 32500}, {"sessions": 10, "totalPence": 48300}]</t>
  </si>
  <si>
    <t xml:space="preserve">[{"sessions": 3, "totalPence": 23900}, {"sessions": 6, "totalPence": 44900}, {"sessions": 10, "totalPence": 65600}]</t>
  </si>
  <si>
    <t xml:space="preserve">[{"sessions": 3, "totalPence": 29400}, {"sessions": 6, "totalPence": 54600}, {"sessions": 10, "totalPence": 80400}]</t>
  </si>
  <si>
    <t xml:space="preserve">[{"sessions": 3, "totalPence": 5900}, {"sessions": 6, "totalPence": 10400}, {"sessions": 10, "totalPence": 15000}]</t>
  </si>
  <si>
    <t xml:space="preserve">[{"sessions": 3, "totalPence": 12900}, {"sessions": 6, "totalPence": 24600}, {"sessions": 10, "totalPence": 39000}]</t>
  </si>
  <si>
    <t xml:space="preserve">[{"sessions": 3, "totalPence": 37500}, {"sessions": 6, "totalPence": 69000}, {"sessions": 10, "totalPence": 95000}]</t>
  </si>
  <si>
    <t xml:space="preserve">[{"sessions": 3, "totalPence": 24200}, {"sessions": 6, "totalPence": 44900}, {"sessions": 10, "totalPence": 67900}]</t>
  </si>
  <si>
    <t xml:space="preserve">[{"sessions": 3, "totalPence": 29000}, {"sessions": 6, "totalPence": 55200}, {"sessions": 10, "totalPence": 86300}]</t>
  </si>
  <si>
    <t xml:space="preserve">[{"sessions": 3, "totalPence": 57000}, {"sessions": 6, "totalPence": 82800}, {"sessions": 10, "totalPence": 113900}]</t>
  </si>
  <si>
    <t xml:space="preserve">lhr-men</t>
  </si>
  <si>
    <t xml:space="preserve">NORMAL</t>
  </si>
  <si>
    <t xml:space="preserve">[{"sessions": 3, "totalPence": 4500}, {"sessions": 6, "totalPence": 7200}, {"sessions": 10, "totalPence": 10000}]</t>
  </si>
  <si>
    <t xml:space="preserve">[{"sessions": 3, "totalPence": 15900}, {"sessions": 6, "totalPence": 29700}, {"sessions": 10, "totalPence": 44900}]</t>
  </si>
  <si>
    <t xml:space="preserve">[{"sessions": 3, "totalPence": 20700}, {"sessions": 6, "totalPence": 37300}, {"sessions": 10, "totalPence": 58800}]</t>
  </si>
  <si>
    <t xml:space="preserve">[{"sessions": 3, "totalPence": 25600}, {"sessions": 6, "totalPence": 44900}, {"sessions": 10, "totalPence": 67900}]</t>
  </si>
  <si>
    <t xml:space="preserve">[{"sessions": 3, "totalPence": 9000}, {"sessions": 6, "totalPence": 15900}, {"sessions": 10, "totalPence": 22900}]</t>
  </si>
  <si>
    <t xml:space="preserve">[{"sessions": 3, "totalPence": 24200}, {"sessions": 6, "totalPence": 44200}, {"sessions": 10, "totalPence": 67900}]</t>
  </si>
  <si>
    <t xml:space="preserve">[{"sessions": 3, "totalPence": 29700}, {"sessions": 6, "totalPence": 53900}, {"sessions": 10, "totalPence": 81700}]</t>
  </si>
  <si>
    <t xml:space="preserve">[{"sessions": 3, "totalPence": 32100}, {"sessions": 6, "totalPence": 60100}, {"sessions": 10, "totalPence": 90900}]</t>
  </si>
  <si>
    <t xml:space="preserve">[{"sessions": 3, "totalPence": 32500}, {"sessions": 6, "totalPence": 59000}, {"sessions": 10, "totalPence": 82500}]</t>
  </si>
  <si>
    <t xml:space="preserve">[{"sessions": 3, "totalPence": 44900}, {"sessions": 6, "totalPence": 86300}, {"sessions": 10, "totalPence": 125400}]</t>
  </si>
  <si>
    <t xml:space="preserve">[{"sessions": 3, "totalPence": 61800}, {"sessions": 6, "totalPence": 113200}, {"sessions": 10, "totalPence": 171400}]</t>
  </si>
  <si>
    <t xml:space="preserve">[{"sessions": 3, "totalPence": 89400}, {"sessions": 6, "totalPence": 165000}, {"sessions": 10, "totalPence": 251900}]</t>
  </si>
  <si>
    <t xml:space="preserve">[{"sessions": 3, "totalPence": 17000}, {"sessions": 6, "totalPence": 30400}, {"sessions": 10, "totalPence": 47200}]</t>
  </si>
  <si>
    <t xml:space="preserve">[{"sessions": 3, "totalPence": 17000}, {"sessions": 6, "totalPence": 31100}, {"sessions": 10, "totalPence": 47200}]</t>
  </si>
  <si>
    <t xml:space="preserve">[{"sessions": 3, "totalPence": 27300}, {"sessions": 6, "totalPence": 49700}, {"sessions": 10, "totalPence": 77100}]</t>
  </si>
  <si>
    <t xml:space="preserve">[{"sessions": 3, "totalPence": 30800}, {"sessions": 6, "totalPence": 59400}, {"sessions": 10, "totalPence": 90900}]</t>
  </si>
  <si>
    <t xml:space="preserve">[{"sessions": 3, "totalPence": 31400}, {"sessions": 6, "totalPence": 58000}, {"sessions": 10, "totalPence": 89700}]</t>
  </si>
  <si>
    <t xml:space="preserve">[{"sessions": 3, "totalPence": 41800}, {"sessions": 6, "totalPence": 77300}, {"sessions": 10, "totalPence": 113900}]</t>
  </si>
  <si>
    <t xml:space="preserve">intimate-rejuvenation</t>
  </si>
  <si>
    <t xml:space="preserve">[{"sessions": 3, "totalPence": 189000}, {"sessions": 6, "totalPence": 342000}]</t>
  </si>
  <si>
    <t xml:space="preserve">[{"sessions": 3, "totalPence": 189000}]</t>
  </si>
  <si>
    <t xml:space="preserve">laser-pigmentation</t>
  </si>
  <si>
    <t xml:space="preserve">laser pigmentation Face</t>
  </si>
  <si>
    <t xml:space="preserve">[{"sessions": 3, "totalPence": 40500}, {"sessions": 5, "totalPence": 60000}]</t>
  </si>
  <si>
    <t xml:space="preserve">vascular-lesions</t>
  </si>
  <si>
    <t xml:space="preserve">spider-veins</t>
  </si>
  <si>
    <t xml:space="preserve">[{"sessions": 2, "totalPence": 41600}]</t>
  </si>
  <si>
    <t xml:space="preserve">[{"sessions": 2, "totalPence": 53700}]</t>
  </si>
  <si>
    <t xml:space="preserve">[{"sessions": 2, "totalPence": 80100}, {"sessions": 3, "totalPence": 114900}]</t>
  </si>
  <si>
    <t xml:space="preserve">carbon-laser-peel</t>
  </si>
  <si>
    <t xml:space="preserve">INACTIVE (service.active=false, stored status NORMAL)</t>
  </si>
  <si>
    <t xml:space="preserve">[{"sessions": 3, "totalPence": 25600}, {"sessions": 6, "totalPence": 47900}]</t>
  </si>
  <si>
    <t xml:space="preserve">[{"sessions": 3, "totalPence": 33100}, {"sessions": 6, "totalPence": 59900}]</t>
  </si>
  <si>
    <t xml:space="preserve">[{"sessions": 3, "totalPence": 55200}, {"sessions": 6, "totalPence": 97700}]</t>
  </si>
  <si>
    <t xml:space="preserve">[{"sessions": 3, "totalPence": 62400}, {"sessions": 6, "totalPence": 112200}]</t>
  </si>
  <si>
    <t xml:space="preserve">fungal-nail</t>
  </si>
  <si>
    <t xml:space="preserve">[{"sessions": 6, "totalPence": 37200}, {"sessions": 10, "totalPence": 51500}]</t>
  </si>
  <si>
    <t xml:space="preserve">[{"sessions": 6, "totalPence": 49800}, {"sessions": 10, "totalPence": 62000}]</t>
  </si>
  <si>
    <t xml:space="preserve">laser-tattoo-removal</t>
  </si>
  <si>
    <t xml:space="preserve">[{"sessions": 6, "totalPence": 24500}, {"sessions": 10, "totalPence": 38500}]</t>
  </si>
  <si>
    <t xml:space="preserve">[{"sessions": 6, "totalPence": 62700}, {"sessions": 10, "totalPence": 93500}]</t>
  </si>
  <si>
    <t xml:space="preserve">[{"sessions": 6, "totalPence": 95700}, {"sessions": 10, "totalPence": 148500}]</t>
  </si>
  <si>
    <t xml:space="preserve">[{"sessions": 6, "totalPence": 131400}, {"sessions": 10, "totalPence": 203500}]</t>
  </si>
  <si>
    <t xml:space="preserve">pmu-removal</t>
  </si>
  <si>
    <t xml:space="preserve">[{"sessions": 4, "totalPence": 106000}, {"sessions": 6, "totalPence": 153000}]</t>
  </si>
  <si>
    <t xml:space="preserve">hydrafacial</t>
  </si>
  <si>
    <t xml:space="preserve">[{"sessions": 3, "totalPence": 26700}, {"sessions": 6, "totalPence": 47400}]</t>
  </si>
  <si>
    <t xml:space="preserve">[{"sessions": 3, "totalPence": 39900}, {"sessions": 6, "totalPence": 70800}]</t>
  </si>
  <si>
    <t xml:space="preserve">[{"sessions": 3, "totalPence": 51900}, {"sessions": 6, "totalPence": 94800}]</t>
  </si>
  <si>
    <t xml:space="preserve">smas-hifu</t>
  </si>
  <si>
    <t xml:space="preserve">[{"sessions": 3, "totalPence": 97500}]</t>
  </si>
  <si>
    <t xml:space="preserve">[{"sessions": 3, "totalPence": 112500}]</t>
  </si>
  <si>
    <t xml:space="preserve">[{"sessions": 3, "totalPence": 130500}]</t>
  </si>
  <si>
    <t xml:space="preserve">[{"sessions": 3, "totalPence": 148500}]</t>
  </si>
  <si>
    <t xml:space="preserve">[{"sessions": 3, "totalPence": 91500}]</t>
  </si>
  <si>
    <t xml:space="preserve">[{"sessions": 3, "totalPence": 88500}]</t>
  </si>
  <si>
    <t xml:space="preserve">cosmetic-peels</t>
  </si>
  <si>
    <t xml:space="preserve">[{"sessions": 3, "totalPence": 32000}]</t>
  </si>
  <si>
    <t xml:space="preserve">fat-dissolving</t>
  </si>
  <si>
    <t xml:space="preserve">Large Area (Things, Waist, Stomach)</t>
  </si>
  <si>
    <t xml:space="preserve">rf-lifting</t>
  </si>
  <si>
    <t xml:space="preserve">[{"sessions": 3, "totalPence": 69000}, {"sessions": 5, "totalPence": 107500}]</t>
  </si>
  <si>
    <t xml:space="preserve">ipl-phototherapy</t>
  </si>
  <si>
    <t xml:space="preserve">[{"sessions": 3, "totalPence": 57000}, {"sessions": 5, "totalPence": 85000}]</t>
  </si>
  <si>
    <t xml:space="preserve">laser-skin-rejuvenation</t>
  </si>
  <si>
    <t xml:space="preserve">laser-skin-resurfacing</t>
  </si>
  <si>
    <t xml:space="preserve">[{"sessions": 3, "totalPence": 48000}, {"sessions": 5, "totalPence": 45000}]</t>
  </si>
  <si>
    <t xml:space="preserve">endosphere</t>
  </si>
  <si>
    <t xml:space="preserve">BodyShpere 30 min</t>
  </si>
  <si>
    <t xml:space="preserve">[{"sessions": 3, "totalPence": 21000}, {"sessions": 6, "totalPence": 40200}, {"sessions": 10, "totalPence": 65000}]</t>
  </si>
  <si>
    <t xml:space="preserve">BodyShpere 45 min</t>
  </si>
  <si>
    <t xml:space="preserve">[{"sessions": 3, "totalPence": 30000}, {"sessions": 6, "totalPence": 58200}, {"sessions": 10, "totalPence": 95000}]</t>
  </si>
  <si>
    <t xml:space="preserve">BodyShpere 60 min</t>
  </si>
  <si>
    <t xml:space="preserve">[{"sessions": 3, "totalPence": 34500}, {"sessions": 6, "totalPence": 67200}, {"sessions": 10, "totalPence": 110000}]</t>
  </si>
  <si>
    <t xml:space="preserve">BodyShpere &amp; Facial Massage 60 min</t>
  </si>
  <si>
    <t xml:space="preserve">[{"sessions": 3, "totalPence": 36000}, {"sessions": 6, "totalPence": 69000}, {"sessions": 10, "totalPence": 112000}]</t>
  </si>
  <si>
    <t xml:space="preserve">caci</t>
  </si>
  <si>
    <t xml:space="preserve">[{"sessions": 3, "totalPence": 40500}, {"sessions": 6, "totalPence": 78000}, {"sessions": 10, "totalPence": 126000}, {"sessions": 12, "totalPence": 144000}]</t>
  </si>
  <si>
    <t xml:space="preserve">[{"sessions": 3, "totalPence": 43800}, {"sessions": 6, "totalPence": 85200}, {"sessions": 10, "totalPence": 138000}, {"sessions": 12, "totalPence": 159600}]</t>
  </si>
  <si>
    <t xml:space="preserve">[{"sessions": 3, "totalPence": 19800}, {"sessions": 6, "totalPence": 37800}, {"sessions": 10, "totalPence": 59000}, {"sessions": 12, "totalPence": 68400}]</t>
  </si>
  <si>
    <t xml:space="preserve">red-carpet-lift</t>
  </si>
  <si>
    <t xml:space="preserve">[{"sessions": 3, "totalPence": 39500}, {"sessions": 6, "totalPence": 76000}]</t>
  </si>
  <si>
    <t xml:space="preserve">bb-glow-r3q4</t>
  </si>
  <si>
    <t xml:space="preserve">massage-yuli</t>
  </si>
  <si>
    <t xml:space="preserve">microneedling-oosw</t>
  </si>
  <si>
    <t xml:space="preserve">[{"sessions": 3, "totalPence": 27000}]</t>
  </si>
  <si>
    <t xml:space="preserve">[{"sessions": 3, "totalPence": 31500}]</t>
  </si>
  <si>
    <t xml:space="preserve">[{"sessions": 3, "totalPence": 40500}]</t>
  </si>
  <si>
    <t xml:space="preserve">vacuum-massage-68b9</t>
  </si>
  <si>
    <t xml:space="preserve">deep-cleansing-8y6d</t>
  </si>
  <si>
    <t xml:space="preserve">led-light-therapy-9h76</t>
  </si>
  <si>
    <t xml:space="preserve">face-head-massage-ax9e</t>
  </si>
  <si>
    <t xml:space="preserve">microdermabrasion-epd8</t>
  </si>
  <si>
    <t xml:space="preserve">[{"sessions": 3, "totalPence": 21500}]</t>
  </si>
  <si>
    <t xml:space="preserve">microcurrent-lifting-fm2d</t>
  </si>
  <si>
    <t xml:space="preserve">[{"sessions": 5, "totalPence": 40000}, {"sessions": 10, "totalPence": 75000}]</t>
  </si>
  <si>
    <t xml:space="preserve">[{"sessions": 5, "totalPence": 67500}, {"sessions": 10, "totalPence": 126000}]</t>
  </si>
  <si>
    <t xml:space="preserve">[{"sessions": 5, "totalPence": 71000}, {"sessions": 10, "totalPence": 138000}]</t>
  </si>
  <si>
    <t xml:space="preserve">botox-j2j7</t>
  </si>
  <si>
    <t xml:space="preserve">Ladie's Men's-Wrinkle 1 area</t>
  </si>
  <si>
    <t xml:space="preserve">Ladie's Men's-Wrinkle 2 area</t>
  </si>
  <si>
    <t xml:space="preserve">Ladie's Men's-Wrinkle 3 area</t>
  </si>
  <si>
    <t xml:space="preserve">lip-filler-k4wd</t>
  </si>
  <si>
    <t xml:space="preserve">mesotherapy-mfc8</t>
  </si>
  <si>
    <t xml:space="preserve">polynucleotides-n29n</t>
  </si>
  <si>
    <t xml:space="preserve">[{"sessions": 2, "totalPence": 32000}, {"sessions": 3, "totalPence": 49000}]</t>
  </si>
  <si>
    <t xml:space="preserve">[{"sessions": 3, "totalPence": 45000}]</t>
  </si>
  <si>
    <t xml:space="preserve">rosacea-treatment-ojdv</t>
  </si>
  <si>
    <t xml:space="preserve">laser-wrinkles-removal-oyti</t>
  </si>
  <si>
    <t xml:space="preserve">botox-r9w5</t>
  </si>
  <si>
    <t xml:space="preserve">Booking mix — last 90 days (post-reopening)</t>
  </si>
  <si>
    <t xml:space="preserve">treatmentSlug</t>
  </si>
  <si>
    <t xml:space="preserve">bookings90d</t>
  </si>
  <si>
    <t xml:space="preserve">laser-hair-removal</t>
  </si>
  <si>
    <t xml:space="preserve">hydraglow-facial</t>
  </si>
  <si>
    <t xml:space="preserve">laser-hair-removal-for-men</t>
  </si>
  <si>
    <t xml:space="preserve">body-contouring</t>
  </si>
  <si>
    <t xml:space="preserve">microcurrent-facial</t>
  </si>
  <si>
    <t xml:space="preserve">microneedling</t>
  </si>
  <si>
    <t xml:space="preserve">rf-skin-tightening</t>
  </si>
  <si>
    <t xml:space="preserve">spider-veins-removal</t>
  </si>
  <si>
    <t xml:space="preserve">pigmentation-correction</t>
  </si>
  <si>
    <t xml:space="preserve">vascular-lesions-treatment</t>
  </si>
  <si>
    <t xml:space="preserve">vacuum-massage</t>
  </si>
  <si>
    <t xml:space="preserve">cosmetic-injectables</t>
  </si>
  <si>
    <t xml:space="preserve">smas-hifu-lifting</t>
  </si>
  <si>
    <t xml:space="preserve">cosmetic-injections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</si>
</sst>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 yyyy"/>
    <numFmt numFmtId="166" formatCode="#,##0"/>
    <numFmt numFmtId="167" formatCode="#,##0.0"/>
    <numFmt numFmtId="168" formatCode="\£#,##0;&quot;(£&quot;#,##0\);\-"/>
    <numFmt numFmtId="169" formatCode="0.00"/>
    <numFmt numFmtId="170" formatCode="\£#,##0.00"/>
    <numFmt numFmtId="171" formatCode="0.0%"/>
    <numFmt numFmtId="172" formatCode="0%"/>
    <numFmt numFmtId="173" formatCode="mmm\ 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4D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B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EAEFF5"/>
      </patternFill>
    </fill>
    <fill>
      <patternFill patternType="solid">
        <fgColor rgb="FFFFF8DC"/>
        <bgColor rgb="FFFFFFFF"/>
      </patternFill>
    </fill>
    <fill>
      <patternFill patternType="solid">
        <fgColor rgb="FF1F3B4D"/>
        <bgColor rgb="FF003366"/>
      </patternFill>
    </fill>
    <fill>
      <patternFill patternType="solid">
        <fgColor rgb="FFEAEFF5"/>
        <bgColor rgb="FFE2EFDA"/>
      </patternFill>
    </fill>
    <fill>
      <patternFill patternType="solid">
        <fgColor rgb="FFE2EFDA"/>
        <bgColor rgb="FFEAEF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AEF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23.85" hidden="false" customHeight="false" outlineLevel="0" collapsed="false">
      <c r="B7" s="4" t="s">
        <v>4</v>
      </c>
    </row>
    <row r="9" customFormat="false" ht="15" hidden="false" customHeight="false" outlineLevel="0" collapsed="false">
      <c r="B9" s="3" t="s">
        <v>5</v>
      </c>
    </row>
    <row r="10" customFormat="false" ht="35.05" hidden="false" customHeight="false" outlineLevel="0" collapsed="false">
      <c r="B10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35.05" hidden="false" customHeight="false" outlineLevel="0" collapsed="false">
      <c r="B13" s="4" t="s">
        <v>8</v>
      </c>
    </row>
    <row r="14" customFormat="false" ht="23.85" hidden="false" customHeight="false" outlineLevel="0" collapsed="false">
      <c r="B14" s="4" t="s">
        <v>9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4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2" customFormat="false" ht="15" hidden="false" customHeight="false" outlineLevel="0" collapsed="false">
      <c r="B22" s="3" t="s">
        <v>15</v>
      </c>
    </row>
    <row r="23" customFormat="false" ht="35.05" hidden="false" customHeight="false" outlineLevel="0" collapsed="false">
      <c r="B23" s="4" t="s">
        <v>16</v>
      </c>
    </row>
    <row r="24" customFormat="false" ht="23.85" hidden="false" customHeight="false" outlineLevel="0" collapsed="false">
      <c r="B24" s="4" t="s">
        <v>17</v>
      </c>
    </row>
    <row r="25" customFormat="false" ht="15" hidden="false" customHeight="false" outlineLevel="0" collapsed="false">
      <c r="B25" s="4" t="s">
        <v>18</v>
      </c>
    </row>
    <row r="26" customFormat="false" ht="35.05" hidden="false" customHeight="false" outlineLevel="0" collapsed="false">
      <c r="B26" s="4" t="s">
        <v>19</v>
      </c>
    </row>
    <row r="27" customFormat="false" ht="15" hidden="false" customHeight="false" outlineLevel="0" collapsed="false">
      <c r="B27" s="4" t="s">
        <v>20</v>
      </c>
    </row>
    <row r="28" customFormat="false" ht="15" hidden="false" customHeight="false" outlineLevel="0" collapsed="false">
      <c r="B28" s="4" t="s">
        <v>21</v>
      </c>
    </row>
    <row r="29" customFormat="false" ht="23.85" hidden="false" customHeight="false" outlineLevel="0" collapsed="false">
      <c r="B29" s="4" t="s">
        <v>22</v>
      </c>
    </row>
    <row r="30" customFormat="false" ht="15" hidden="false" customHeight="false" outlineLevel="0" collapsed="false">
      <c r="B30" s="4" t="s">
        <v>23</v>
      </c>
    </row>
    <row r="31" customFormat="false" ht="23.85" hidden="false" customHeight="false" outlineLevel="0" collapsed="false">
      <c r="B31" s="4" t="s">
        <v>24</v>
      </c>
    </row>
    <row r="32" customFormat="false" ht="23.85" hidden="false" customHeight="false" outlineLevel="0" collapsed="false">
      <c r="B32" s="4" t="s">
        <v>25</v>
      </c>
    </row>
    <row r="33" customFormat="false" ht="23.85" hidden="false" customHeight="false" outlineLevel="0" collapsed="false">
      <c r="B33" s="4" t="s">
        <v>26</v>
      </c>
    </row>
    <row r="34" customFormat="false" ht="23.85" hidden="false" customHeight="false" outlineLevel="0" collapsed="false">
      <c r="B34" s="4" t="s">
        <v>27</v>
      </c>
    </row>
    <row r="35" customFormat="false" ht="15" hidden="false" customHeight="false" outlineLevel="0" collapsed="false">
      <c r="B35" s="4" t="s">
        <v>28</v>
      </c>
    </row>
    <row r="36" customFormat="false" ht="15" hidden="false" customHeight="false" outlineLevel="0" collapsed="false">
      <c r="B36" s="4" t="s">
        <v>29</v>
      </c>
    </row>
    <row r="37" customFormat="false" ht="15" hidden="false" customHeight="false" outlineLevel="0" collapsed="false">
      <c r="B37" s="4" t="s">
        <v>30</v>
      </c>
    </row>
    <row r="38" customFormat="false" ht="15" hidden="false" customHeight="false" outlineLevel="0" collapsed="false">
      <c r="B38" s="4" t="s">
        <v>31</v>
      </c>
    </row>
    <row r="40" customFormat="false" ht="15" hidden="false" customHeight="false" outlineLevel="0" collapsed="false">
      <c r="B40" s="3" t="s">
        <v>32</v>
      </c>
    </row>
    <row r="41" customFormat="false" ht="23.85" hidden="false" customHeight="false" outlineLevel="0" collapsed="false">
      <c r="B41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5"/>
  </cols>
  <sheetData>
    <row r="1" customFormat="false" ht="19.7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  <c r="B4" s="5"/>
      <c r="C4" s="5"/>
      <c r="D4" s="5"/>
    </row>
    <row r="5" customFormat="false" ht="15" hidden="false" customHeight="false" outlineLevel="0" collapsed="false">
      <c r="A5" s="6" t="s">
        <v>37</v>
      </c>
      <c r="B5" s="7" t="n">
        <v>46266</v>
      </c>
      <c r="C5" s="2" t="s">
        <v>38</v>
      </c>
      <c r="D5" s="8" t="s">
        <v>39</v>
      </c>
    </row>
    <row r="6" customFormat="false" ht="19.4" hidden="false" customHeight="false" outlineLevel="0" collapsed="false">
      <c r="A6" s="6" t="s">
        <v>40</v>
      </c>
      <c r="B6" s="9" t="n">
        <v>9</v>
      </c>
      <c r="C6" s="2" t="s">
        <v>41</v>
      </c>
      <c r="D6" s="8" t="s">
        <v>42</v>
      </c>
    </row>
    <row r="7" customFormat="false" ht="15" hidden="false" customHeight="false" outlineLevel="0" collapsed="false">
      <c r="A7" s="6" t="s">
        <v>43</v>
      </c>
      <c r="B7" s="9" t="n">
        <v>9</v>
      </c>
      <c r="C7" s="2" t="s">
        <v>41</v>
      </c>
      <c r="D7" s="8" t="s">
        <v>44</v>
      </c>
    </row>
    <row r="8" customFormat="false" ht="15" hidden="false" customHeight="false" outlineLevel="0" collapsed="false">
      <c r="A8" s="6" t="s">
        <v>45</v>
      </c>
      <c r="B8" s="9" t="n">
        <v>6</v>
      </c>
      <c r="C8" s="2" t="s">
        <v>46</v>
      </c>
      <c r="D8" s="8" t="s">
        <v>47</v>
      </c>
    </row>
    <row r="9" customFormat="false" ht="15" hidden="false" customHeight="false" outlineLevel="0" collapsed="false">
      <c r="A9" s="6" t="s">
        <v>48</v>
      </c>
      <c r="B9" s="10" t="n">
        <v>9.5</v>
      </c>
      <c r="C9" s="2" t="s">
        <v>49</v>
      </c>
      <c r="D9" s="8" t="s">
        <v>50</v>
      </c>
    </row>
    <row r="10" customFormat="false" ht="15" hidden="false" customHeight="false" outlineLevel="0" collapsed="false">
      <c r="A10" s="6" t="s">
        <v>51</v>
      </c>
      <c r="B10" s="9" t="n">
        <v>15</v>
      </c>
      <c r="C10" s="2" t="s">
        <v>52</v>
      </c>
      <c r="D10" s="8" t="s">
        <v>53</v>
      </c>
    </row>
    <row r="11" customFormat="false" ht="15" hidden="false" customHeight="false" outlineLevel="0" collapsed="false">
      <c r="A11" s="3" t="s">
        <v>54</v>
      </c>
      <c r="B11" s="5"/>
      <c r="C11" s="5"/>
      <c r="D11" s="5"/>
    </row>
    <row r="12" customFormat="false" ht="15" hidden="false" customHeight="false" outlineLevel="0" collapsed="false">
      <c r="A12" s="6" t="s">
        <v>55</v>
      </c>
      <c r="B12" s="11" t="n">
        <v>41000</v>
      </c>
      <c r="C12" s="2" t="s">
        <v>56</v>
      </c>
      <c r="D12" s="8" t="s">
        <v>57</v>
      </c>
    </row>
    <row r="13" customFormat="false" ht="15" hidden="false" customHeight="false" outlineLevel="0" collapsed="false">
      <c r="A13" s="6" t="s">
        <v>58</v>
      </c>
      <c r="B13" s="11" t="n">
        <v>27000</v>
      </c>
      <c r="C13" s="2" t="s">
        <v>56</v>
      </c>
      <c r="D13" s="8" t="s">
        <v>59</v>
      </c>
    </row>
    <row r="14" customFormat="false" ht="15" hidden="false" customHeight="false" outlineLevel="0" collapsed="false">
      <c r="A14" s="6" t="s">
        <v>60</v>
      </c>
      <c r="B14" s="11" t="n">
        <v>48000</v>
      </c>
      <c r="C14" s="2" t="s">
        <v>56</v>
      </c>
      <c r="D14" s="8" t="s">
        <v>61</v>
      </c>
    </row>
    <row r="15" customFormat="false" ht="19.4" hidden="false" customHeight="false" outlineLevel="0" collapsed="false">
      <c r="A15" s="6" t="s">
        <v>62</v>
      </c>
      <c r="B15" s="12" t="n">
        <v>1.16</v>
      </c>
      <c r="C15" s="2" t="s">
        <v>63</v>
      </c>
      <c r="D15" s="8" t="s">
        <v>64</v>
      </c>
    </row>
    <row r="16" customFormat="false" ht="15" hidden="false" customHeight="false" outlineLevel="0" collapsed="false">
      <c r="A16" s="6" t="s">
        <v>65</v>
      </c>
      <c r="B16" s="9" t="n">
        <v>2</v>
      </c>
      <c r="C16" s="9" t="n">
        <v>3</v>
      </c>
      <c r="D16" s="8" t="s">
        <v>66</v>
      </c>
      <c r="E16" s="9" t="n">
        <v>5</v>
      </c>
    </row>
    <row r="17" customFormat="false" ht="15" hidden="false" customHeight="false" outlineLevel="0" collapsed="false">
      <c r="A17" s="6" t="s">
        <v>67</v>
      </c>
      <c r="B17" s="9" t="n">
        <v>1</v>
      </c>
      <c r="C17" s="9" t="n">
        <v>1</v>
      </c>
      <c r="D17" s="8" t="s">
        <v>68</v>
      </c>
      <c r="E17" s="9" t="n">
        <v>2</v>
      </c>
    </row>
    <row r="18" customFormat="false" ht="15" hidden="false" customHeight="false" outlineLevel="0" collapsed="false">
      <c r="A18" s="6" t="s">
        <v>69</v>
      </c>
      <c r="B18" s="9" t="n">
        <v>30</v>
      </c>
      <c r="C18" s="2" t="s">
        <v>70</v>
      </c>
      <c r="D18" s="8" t="s">
        <v>71</v>
      </c>
    </row>
    <row r="19" customFormat="false" ht="15" hidden="false" customHeight="false" outlineLevel="0" collapsed="false">
      <c r="A19" s="6" t="s">
        <v>72</v>
      </c>
      <c r="B19" s="9" t="n">
        <v>46</v>
      </c>
      <c r="C19" s="2" t="s">
        <v>73</v>
      </c>
      <c r="D19" s="8" t="s">
        <v>74</v>
      </c>
    </row>
    <row r="20" customFormat="false" ht="15" hidden="false" customHeight="false" outlineLevel="0" collapsed="false">
      <c r="A20" s="6" t="s">
        <v>75</v>
      </c>
      <c r="B20" s="13" t="n">
        <f aca="false">Assumptions!$B$12*Assumptions!$B$15/(Assumptions!$B$19*Assumptions!$B$18)</f>
        <v>34.463768115942</v>
      </c>
      <c r="C20" s="2" t="s">
        <v>76</v>
      </c>
      <c r="D20" s="8" t="s">
        <v>77</v>
      </c>
    </row>
    <row r="21" customFormat="false" ht="15" hidden="false" customHeight="false" outlineLevel="0" collapsed="false">
      <c r="A21" s="6" t="s">
        <v>78</v>
      </c>
      <c r="B21" s="14" t="n">
        <f aca="false">Assumptions!$B$18*Assumptions!$B$19/12</f>
        <v>115</v>
      </c>
      <c r="C21" s="2" t="s">
        <v>79</v>
      </c>
      <c r="D21" s="8" t="s">
        <v>80</v>
      </c>
    </row>
    <row r="22" customFormat="false" ht="15" hidden="false" customHeight="false" outlineLevel="0" collapsed="false">
      <c r="A22" s="3" t="s">
        <v>81</v>
      </c>
      <c r="B22" s="5"/>
      <c r="C22" s="5"/>
      <c r="D22" s="5"/>
    </row>
    <row r="23" customFormat="false" ht="19.4" hidden="false" customHeight="false" outlineLevel="0" collapsed="false">
      <c r="A23" s="6" t="s">
        <v>82</v>
      </c>
      <c r="B23" s="10" t="n">
        <v>27</v>
      </c>
      <c r="C23" s="2" t="s">
        <v>83</v>
      </c>
      <c r="D23" s="8" t="s">
        <v>84</v>
      </c>
    </row>
    <row r="24" customFormat="false" ht="15" hidden="false" customHeight="false" outlineLevel="0" collapsed="false">
      <c r="A24" s="6" t="s">
        <v>85</v>
      </c>
      <c r="B24" s="10" t="n">
        <v>55</v>
      </c>
      <c r="C24" s="2" t="s">
        <v>86</v>
      </c>
      <c r="D24" s="8" t="s">
        <v>87</v>
      </c>
    </row>
    <row r="25" customFormat="false" ht="19.4" hidden="false" customHeight="false" outlineLevel="0" collapsed="false">
      <c r="A25" s="6" t="s">
        <v>88</v>
      </c>
      <c r="B25" s="10" t="n">
        <v>12</v>
      </c>
      <c r="C25" s="2" t="s">
        <v>89</v>
      </c>
      <c r="D25" s="8" t="s">
        <v>90</v>
      </c>
    </row>
    <row r="26" customFormat="false" ht="19.4" hidden="false" customHeight="false" outlineLevel="0" collapsed="false">
      <c r="A26" s="6" t="s">
        <v>91</v>
      </c>
      <c r="B26" s="6" t="s">
        <v>92</v>
      </c>
      <c r="C26" s="2"/>
      <c r="D26" s="8" t="s">
        <v>93</v>
      </c>
    </row>
    <row r="27" customFormat="false" ht="15" hidden="false" customHeight="false" outlineLevel="0" collapsed="false">
      <c r="A27" s="3" t="s">
        <v>94</v>
      </c>
      <c r="B27" s="5"/>
      <c r="C27" s="5"/>
      <c r="D27" s="5"/>
    </row>
    <row r="28" customFormat="false" ht="28.35" hidden="false" customHeight="false" outlineLevel="0" collapsed="false">
      <c r="A28" s="6" t="s">
        <v>95</v>
      </c>
      <c r="B28" s="11" t="n">
        <v>64000</v>
      </c>
      <c r="C28" s="2" t="s">
        <v>56</v>
      </c>
      <c r="D28" s="8" t="s">
        <v>96</v>
      </c>
    </row>
    <row r="29" customFormat="false" ht="19.4" hidden="false" customHeight="false" outlineLevel="0" collapsed="false">
      <c r="A29" s="6" t="s">
        <v>97</v>
      </c>
      <c r="B29" s="11" t="n">
        <v>11500</v>
      </c>
      <c r="C29" s="2" t="s">
        <v>56</v>
      </c>
      <c r="D29" s="8" t="s">
        <v>98</v>
      </c>
    </row>
    <row r="30" customFormat="false" ht="15" hidden="false" customHeight="false" outlineLevel="0" collapsed="false">
      <c r="A30" s="6" t="s">
        <v>99</v>
      </c>
      <c r="B30" s="11" t="n">
        <v>0</v>
      </c>
      <c r="C30" s="2" t="s">
        <v>56</v>
      </c>
      <c r="D30" s="8" t="s">
        <v>100</v>
      </c>
    </row>
    <row r="31" customFormat="false" ht="15" hidden="false" customHeight="false" outlineLevel="0" collapsed="false">
      <c r="A31" s="3" t="s">
        <v>101</v>
      </c>
      <c r="B31" s="5"/>
      <c r="C31" s="5"/>
      <c r="D31" s="5"/>
    </row>
    <row r="32" customFormat="false" ht="19.4" hidden="false" customHeight="false" outlineLevel="0" collapsed="false">
      <c r="A32" s="6" t="s">
        <v>102</v>
      </c>
      <c r="B32" s="11" t="n">
        <v>1500</v>
      </c>
      <c r="C32" s="2" t="s">
        <v>56</v>
      </c>
      <c r="D32" s="8" t="s">
        <v>103</v>
      </c>
    </row>
    <row r="33" customFormat="false" ht="19.4" hidden="false" customHeight="false" outlineLevel="0" collapsed="false">
      <c r="A33" s="6" t="s">
        <v>104</v>
      </c>
      <c r="B33" s="11" t="n">
        <v>50</v>
      </c>
      <c r="C33" s="2" t="s">
        <v>105</v>
      </c>
      <c r="D33" s="8" t="s">
        <v>106</v>
      </c>
    </row>
    <row r="34" customFormat="false" ht="19.4" hidden="false" customHeight="false" outlineLevel="0" collapsed="false">
      <c r="A34" s="6" t="s">
        <v>107</v>
      </c>
      <c r="B34" s="15" t="n">
        <v>0.017</v>
      </c>
      <c r="C34" s="2" t="s">
        <v>108</v>
      </c>
      <c r="D34" s="8" t="s">
        <v>109</v>
      </c>
    </row>
    <row r="35" customFormat="false" ht="15" hidden="false" customHeight="false" outlineLevel="0" collapsed="false">
      <c r="A35" s="6" t="s">
        <v>110</v>
      </c>
      <c r="B35" s="16" t="n">
        <v>0.95</v>
      </c>
      <c r="C35" s="2" t="s">
        <v>111</v>
      </c>
      <c r="D35" s="8" t="s">
        <v>112</v>
      </c>
    </row>
    <row r="36" customFormat="false" ht="15" hidden="false" customHeight="false" outlineLevel="0" collapsed="false">
      <c r="A36" s="6" t="s">
        <v>113</v>
      </c>
      <c r="B36" s="11" t="n">
        <v>400</v>
      </c>
      <c r="C36" s="2" t="s">
        <v>105</v>
      </c>
      <c r="D36" s="8" t="s">
        <v>114</v>
      </c>
    </row>
    <row r="37" customFormat="false" ht="15" hidden="false" customHeight="false" outlineLevel="0" collapsed="false">
      <c r="A37" s="6" t="s">
        <v>115</v>
      </c>
      <c r="B37" s="11" t="n">
        <v>200</v>
      </c>
      <c r="C37" s="2" t="s">
        <v>105</v>
      </c>
      <c r="D37" s="8" t="s">
        <v>116</v>
      </c>
    </row>
    <row r="38" customFormat="false" ht="15" hidden="false" customHeight="false" outlineLevel="0" collapsed="false">
      <c r="A38" s="3" t="s">
        <v>117</v>
      </c>
      <c r="B38" s="5"/>
      <c r="C38" s="5"/>
      <c r="D38" s="5"/>
    </row>
    <row r="39" customFormat="false" ht="19.4" hidden="false" customHeight="false" outlineLevel="0" collapsed="false">
      <c r="A39" s="6" t="s">
        <v>118</v>
      </c>
      <c r="B39" s="16" t="n">
        <v>0.12</v>
      </c>
      <c r="C39" s="16" t="n">
        <v>0.1</v>
      </c>
      <c r="D39" s="8" t="s">
        <v>119</v>
      </c>
      <c r="E39" s="16" t="n">
        <v>0.08</v>
      </c>
    </row>
    <row r="40" customFormat="false" ht="15" hidden="false" customHeight="false" outlineLevel="0" collapsed="false">
      <c r="A40" s="6" t="s">
        <v>120</v>
      </c>
      <c r="B40" s="11" t="n">
        <v>1500</v>
      </c>
      <c r="C40" s="2" t="s">
        <v>105</v>
      </c>
      <c r="D40" s="8" t="s">
        <v>121</v>
      </c>
    </row>
    <row r="41" customFormat="false" ht="15" hidden="false" customHeight="false" outlineLevel="0" collapsed="false">
      <c r="A41" s="3" t="s">
        <v>122</v>
      </c>
      <c r="B41" s="5"/>
      <c r="C41" s="5"/>
      <c r="D41" s="5"/>
    </row>
    <row r="42" customFormat="false" ht="28.35" hidden="false" customHeight="false" outlineLevel="0" collapsed="false">
      <c r="A42" s="6" t="s">
        <v>123</v>
      </c>
      <c r="B42" s="16" t="n">
        <v>0.2</v>
      </c>
      <c r="C42" s="2" t="s">
        <v>111</v>
      </c>
      <c r="D42" s="8" t="s">
        <v>124</v>
      </c>
    </row>
    <row r="43" customFormat="false" ht="28.35" hidden="false" customHeight="false" outlineLevel="0" collapsed="false">
      <c r="A43" s="6" t="s">
        <v>125</v>
      </c>
      <c r="B43" s="11" t="n">
        <v>90000</v>
      </c>
      <c r="C43" s="2" t="s">
        <v>126</v>
      </c>
      <c r="D43" s="8" t="s">
        <v>127</v>
      </c>
    </row>
    <row r="44" customFormat="false" ht="15" hidden="false" customHeight="false" outlineLevel="0" collapsed="false">
      <c r="A44" s="6" t="s">
        <v>128</v>
      </c>
      <c r="B44" s="11" t="n">
        <v>25000</v>
      </c>
      <c r="C44" s="2" t="s">
        <v>129</v>
      </c>
      <c r="D44" s="8" t="s">
        <v>130</v>
      </c>
    </row>
    <row r="45" customFormat="false" ht="19.4" hidden="false" customHeight="false" outlineLevel="0" collapsed="false">
      <c r="A45" s="6" t="s">
        <v>131</v>
      </c>
      <c r="B45" s="9" t="n">
        <v>0</v>
      </c>
      <c r="C45" s="2" t="s">
        <v>132</v>
      </c>
      <c r="D45" s="8" t="s">
        <v>133</v>
      </c>
    </row>
    <row r="46" customFormat="false" ht="15" hidden="false" customHeight="false" outlineLevel="0" collapsed="false">
      <c r="A46" s="6" t="s">
        <v>134</v>
      </c>
      <c r="B46" s="16" t="n">
        <v>0.19</v>
      </c>
      <c r="C46" s="11" t="n">
        <v>50000</v>
      </c>
      <c r="D46" s="8" t="s">
        <v>135</v>
      </c>
    </row>
    <row r="47" customFormat="false" ht="15" hidden="false" customHeight="false" outlineLevel="0" collapsed="false">
      <c r="A47" s="6" t="s">
        <v>136</v>
      </c>
      <c r="B47" s="15" t="n">
        <v>0.265</v>
      </c>
      <c r="C47" s="11" t="n">
        <v>250000</v>
      </c>
      <c r="D47" s="8" t="s">
        <v>137</v>
      </c>
    </row>
    <row r="48" customFormat="false" ht="28.35" hidden="false" customHeight="false" outlineLevel="0" collapsed="false">
      <c r="A48" s="6" t="s">
        <v>138</v>
      </c>
      <c r="B48" s="16" t="n">
        <v>0.25</v>
      </c>
      <c r="C48" s="2" t="s">
        <v>111</v>
      </c>
      <c r="D48" s="8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10" min="8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4" min="13" style="0" width="44"/>
  </cols>
  <sheetData>
    <row r="1" customFormat="false" ht="19.7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26.85" hidden="false" customHeight="false" outlineLevel="0" collapsed="false">
      <c r="A4" s="17" t="s">
        <v>142</v>
      </c>
      <c r="B4" s="17" t="s">
        <v>143</v>
      </c>
      <c r="C4" s="17" t="s">
        <v>144</v>
      </c>
      <c r="D4" s="17" t="s">
        <v>145</v>
      </c>
      <c r="E4" s="17" t="s">
        <v>146</v>
      </c>
      <c r="F4" s="17" t="s">
        <v>147</v>
      </c>
      <c r="G4" s="17" t="s">
        <v>148</v>
      </c>
      <c r="H4" s="17" t="s">
        <v>149</v>
      </c>
      <c r="I4" s="17" t="s">
        <v>150</v>
      </c>
      <c r="J4" s="17" t="s">
        <v>151</v>
      </c>
      <c r="K4" s="17" t="s">
        <v>152</v>
      </c>
      <c r="L4" s="17" t="s">
        <v>153</v>
      </c>
      <c r="M4" s="17" t="s">
        <v>154</v>
      </c>
      <c r="N4" s="17" t="s">
        <v>155</v>
      </c>
    </row>
    <row r="5" customFormat="false" ht="37.3" hidden="false" customHeight="false" outlineLevel="0" collapsed="false">
      <c r="A5" s="6" t="s">
        <v>156</v>
      </c>
      <c r="B5" s="6" t="s">
        <v>157</v>
      </c>
      <c r="C5" s="8" t="s">
        <v>158</v>
      </c>
      <c r="D5" s="11" t="n">
        <v>18000</v>
      </c>
      <c r="E5" s="9" t="n">
        <v>0</v>
      </c>
      <c r="F5" s="9" t="n">
        <v>7</v>
      </c>
      <c r="G5" s="13" t="n">
        <f aca="false">IF(E5="",0,D5/(F5*12))</f>
        <v>214.285714285714</v>
      </c>
      <c r="H5" s="12" t="n">
        <v>1</v>
      </c>
      <c r="I5" s="11" t="n">
        <v>1800</v>
      </c>
      <c r="J5" s="9" t="n">
        <v>250</v>
      </c>
      <c r="K5" s="18" t="n">
        <f aca="false">IF(J5=0,0,I5/12/J5)</f>
        <v>0.6</v>
      </c>
      <c r="L5" s="18" t="n">
        <f aca="false">IF(J5=0,0,G5/J5)</f>
        <v>0.857142857142857</v>
      </c>
      <c r="M5" s="8" t="s">
        <v>159</v>
      </c>
      <c r="N5" s="8" t="s">
        <v>160</v>
      </c>
    </row>
    <row r="6" customFormat="false" ht="37.3" hidden="false" customHeight="false" outlineLevel="0" collapsed="false">
      <c r="A6" s="6" t="s">
        <v>161</v>
      </c>
      <c r="B6" s="6" t="s">
        <v>162</v>
      </c>
      <c r="C6" s="8" t="s">
        <v>163</v>
      </c>
      <c r="D6" s="11" t="n">
        <v>45000</v>
      </c>
      <c r="E6" s="9" t="n">
        <v>0</v>
      </c>
      <c r="F6" s="9" t="n">
        <v>8</v>
      </c>
      <c r="G6" s="13" t="n">
        <f aca="false">IF(E6="",0,D6/(F6*12))</f>
        <v>468.75</v>
      </c>
      <c r="H6" s="12" t="n">
        <v>0.8</v>
      </c>
      <c r="I6" s="11" t="n">
        <v>3000</v>
      </c>
      <c r="J6" s="9" t="n">
        <v>30</v>
      </c>
      <c r="K6" s="18" t="n">
        <f aca="false">IF(J6=0,0,I6/12/J6)</f>
        <v>8.33333333333333</v>
      </c>
      <c r="L6" s="18" t="n">
        <f aca="false">IF(J6=0,0,G6/J6)</f>
        <v>15.625</v>
      </c>
      <c r="M6" s="8" t="s">
        <v>164</v>
      </c>
      <c r="N6" s="8" t="s">
        <v>165</v>
      </c>
    </row>
    <row r="7" customFormat="false" ht="37.3" hidden="false" customHeight="false" outlineLevel="0" collapsed="false">
      <c r="A7" s="6" t="s">
        <v>166</v>
      </c>
      <c r="B7" s="6" t="s">
        <v>167</v>
      </c>
      <c r="C7" s="19" t="s">
        <v>168</v>
      </c>
      <c r="D7" s="11" t="n">
        <v>110000</v>
      </c>
      <c r="E7" s="9"/>
      <c r="F7" s="9" t="n">
        <v>8</v>
      </c>
      <c r="G7" s="13" t="n">
        <f aca="false">IF(E7="",0,D7/(F7*12))</f>
        <v>0</v>
      </c>
      <c r="H7" s="12" t="n">
        <v>1</v>
      </c>
      <c r="I7" s="11" t="n">
        <v>7500</v>
      </c>
      <c r="J7" s="9" t="n">
        <v>25</v>
      </c>
      <c r="K7" s="18" t="n">
        <f aca="false">IF(J7=0,0,I7/12/J7)</f>
        <v>25</v>
      </c>
      <c r="L7" s="18" t="n">
        <f aca="false">IF(J7=0,0,G7/J7)</f>
        <v>0</v>
      </c>
      <c r="M7" s="8" t="s">
        <v>169</v>
      </c>
      <c r="N7" s="8" t="s">
        <v>170</v>
      </c>
    </row>
    <row r="8" customFormat="false" ht="43.25" hidden="false" customHeight="false" outlineLevel="0" collapsed="false">
      <c r="A8" s="6" t="s">
        <v>171</v>
      </c>
      <c r="B8" s="6" t="s">
        <v>172</v>
      </c>
      <c r="C8" s="19" t="s">
        <v>173</v>
      </c>
      <c r="D8" s="11" t="n">
        <v>55000</v>
      </c>
      <c r="E8" s="9" t="n">
        <v>0</v>
      </c>
      <c r="F8" s="9" t="n">
        <v>9</v>
      </c>
      <c r="G8" s="13" t="n">
        <f aca="false">IF(E8="",0,D8/(F8*12))</f>
        <v>509.259259259259</v>
      </c>
      <c r="H8" s="12" t="n">
        <v>0.4</v>
      </c>
      <c r="I8" s="11" t="n">
        <v>4000</v>
      </c>
      <c r="J8" s="9" t="n">
        <v>8</v>
      </c>
      <c r="K8" s="18" t="n">
        <f aca="false">IF(J8=0,0,I8/12/J8)</f>
        <v>41.6666666666667</v>
      </c>
      <c r="L8" s="18" t="n">
        <f aca="false">IF(J8=0,0,G8/J8)</f>
        <v>63.6574074074074</v>
      </c>
      <c r="M8" s="8" t="s">
        <v>174</v>
      </c>
      <c r="N8" s="8" t="s">
        <v>175</v>
      </c>
    </row>
    <row r="9" customFormat="false" ht="37.3" hidden="false" customHeight="false" outlineLevel="0" collapsed="false">
      <c r="A9" s="6" t="s">
        <v>176</v>
      </c>
      <c r="B9" s="6" t="s">
        <v>177</v>
      </c>
      <c r="C9" s="8" t="s">
        <v>178</v>
      </c>
      <c r="D9" s="11" t="n">
        <v>30000</v>
      </c>
      <c r="E9" s="9" t="n">
        <v>0</v>
      </c>
      <c r="F9" s="9" t="n">
        <v>6</v>
      </c>
      <c r="G9" s="13" t="n">
        <f aca="false">IF(E9="",0,D9/(F9*12))</f>
        <v>416.666666666667</v>
      </c>
      <c r="H9" s="12" t="n">
        <v>0.3</v>
      </c>
      <c r="I9" s="11" t="n">
        <v>2250</v>
      </c>
      <c r="J9" s="9" t="n">
        <v>25</v>
      </c>
      <c r="K9" s="18" t="n">
        <f aca="false">IF(J9=0,0,I9/12/J9)</f>
        <v>7.5</v>
      </c>
      <c r="L9" s="18" t="n">
        <f aca="false">IF(J9=0,0,G9/J9)</f>
        <v>16.6666666666667</v>
      </c>
      <c r="M9" s="8" t="s">
        <v>179</v>
      </c>
      <c r="N9" s="8" t="s">
        <v>180</v>
      </c>
    </row>
    <row r="10" customFormat="false" ht="19.4" hidden="false" customHeight="false" outlineLevel="0" collapsed="false">
      <c r="A10" s="6" t="s">
        <v>181</v>
      </c>
      <c r="B10" s="6" t="s">
        <v>182</v>
      </c>
      <c r="C10" s="8" t="s">
        <v>183</v>
      </c>
      <c r="D10" s="11" t="n">
        <v>40000</v>
      </c>
      <c r="E10" s="9" t="n">
        <v>0</v>
      </c>
      <c r="F10" s="9" t="n">
        <v>7</v>
      </c>
      <c r="G10" s="13" t="n">
        <f aca="false">IF(E10="",0,D10/(F10*12))</f>
        <v>476.190476190476</v>
      </c>
      <c r="H10" s="12" t="n">
        <v>0.5</v>
      </c>
      <c r="I10" s="11" t="n">
        <v>3000</v>
      </c>
      <c r="J10" s="9" t="n">
        <v>12</v>
      </c>
      <c r="K10" s="18" t="n">
        <f aca="false">IF(J10=0,0,I10/12/J10)</f>
        <v>20.8333333333333</v>
      </c>
      <c r="L10" s="18" t="n">
        <f aca="false">IF(J10=0,0,G10/J10)</f>
        <v>39.6825396825397</v>
      </c>
      <c r="M10" s="8" t="s">
        <v>184</v>
      </c>
      <c r="N10" s="8" t="s">
        <v>185</v>
      </c>
    </row>
    <row r="11" customFormat="false" ht="28.35" hidden="false" customHeight="false" outlineLevel="0" collapsed="false">
      <c r="A11" s="6" t="s">
        <v>186</v>
      </c>
      <c r="B11" s="6" t="s">
        <v>187</v>
      </c>
      <c r="C11" s="8" t="s">
        <v>178</v>
      </c>
      <c r="D11" s="11" t="n">
        <v>25000</v>
      </c>
      <c r="E11" s="9" t="n">
        <v>0</v>
      </c>
      <c r="F11" s="9" t="n">
        <v>6</v>
      </c>
      <c r="G11" s="13" t="n">
        <f aca="false">IF(E11="",0,D11/(F11*12))</f>
        <v>347.222222222222</v>
      </c>
      <c r="H11" s="12" t="n">
        <v>0.2</v>
      </c>
      <c r="I11" s="11" t="n">
        <v>1500</v>
      </c>
      <c r="J11" s="9" t="n">
        <v>60</v>
      </c>
      <c r="K11" s="18" t="n">
        <f aca="false">IF(J11=0,0,I11/12/J11)</f>
        <v>2.08333333333333</v>
      </c>
      <c r="L11" s="18" t="n">
        <f aca="false">IF(J11=0,0,G11/J11)</f>
        <v>5.78703703703704</v>
      </c>
      <c r="M11" s="8" t="s">
        <v>188</v>
      </c>
      <c r="N11" s="8" t="s">
        <v>189</v>
      </c>
    </row>
    <row r="12" customFormat="false" ht="28.35" hidden="false" customHeight="false" outlineLevel="0" collapsed="false">
      <c r="A12" s="6" t="s">
        <v>190</v>
      </c>
      <c r="B12" s="6" t="s">
        <v>191</v>
      </c>
      <c r="C12" s="8" t="s">
        <v>192</v>
      </c>
      <c r="D12" s="11" t="n">
        <v>27000</v>
      </c>
      <c r="E12" s="9" t="n">
        <v>0</v>
      </c>
      <c r="F12" s="9" t="n">
        <v>7</v>
      </c>
      <c r="G12" s="13" t="n">
        <f aca="false">IF(E12="",0,D12/(F12*12))</f>
        <v>321.428571428571</v>
      </c>
      <c r="H12" s="12" t="n">
        <v>0.35</v>
      </c>
      <c r="I12" s="11" t="n">
        <v>1750</v>
      </c>
      <c r="J12" s="9" t="n">
        <v>45</v>
      </c>
      <c r="K12" s="18" t="n">
        <f aca="false">IF(J12=0,0,I12/12/J12)</f>
        <v>3.24074074074074</v>
      </c>
      <c r="L12" s="18" t="n">
        <f aca="false">IF(J12=0,0,G12/J12)</f>
        <v>7.14285714285714</v>
      </c>
      <c r="M12" s="8" t="s">
        <v>193</v>
      </c>
      <c r="N12" s="8" t="s">
        <v>194</v>
      </c>
    </row>
    <row r="13" customFormat="false" ht="19.4" hidden="false" customHeight="false" outlineLevel="0" collapsed="false">
      <c r="A13" s="6" t="s">
        <v>195</v>
      </c>
      <c r="B13" s="6" t="s">
        <v>196</v>
      </c>
      <c r="C13" s="8" t="s">
        <v>178</v>
      </c>
      <c r="D13" s="11" t="n">
        <v>3000</v>
      </c>
      <c r="E13" s="9" t="n">
        <v>0</v>
      </c>
      <c r="F13" s="9" t="n">
        <v>4</v>
      </c>
      <c r="G13" s="13" t="n">
        <f aca="false">IF(E13="",0,D13/(F13*12))</f>
        <v>62.5</v>
      </c>
      <c r="H13" s="12" t="n">
        <v>0.02</v>
      </c>
      <c r="I13" s="11" t="n">
        <v>100</v>
      </c>
      <c r="J13" s="9" t="n">
        <v>18</v>
      </c>
      <c r="K13" s="18" t="n">
        <f aca="false">IF(J13=0,0,I13/12/J13)</f>
        <v>0.462962962962963</v>
      </c>
      <c r="L13" s="18" t="n">
        <f aca="false">IF(J13=0,0,G13/J13)</f>
        <v>3.47222222222222</v>
      </c>
      <c r="M13" s="8" t="s">
        <v>197</v>
      </c>
      <c r="N13" s="8" t="s">
        <v>198</v>
      </c>
    </row>
    <row r="14" customFormat="false" ht="19.4" hidden="false" customHeight="false" outlineLevel="0" collapsed="false">
      <c r="A14" s="6" t="s">
        <v>199</v>
      </c>
      <c r="B14" s="6" t="s">
        <v>200</v>
      </c>
      <c r="C14" s="8" t="s">
        <v>201</v>
      </c>
      <c r="D14" s="11" t="n">
        <v>3000</v>
      </c>
      <c r="E14" s="9" t="n">
        <v>0</v>
      </c>
      <c r="F14" s="9" t="n">
        <v>6</v>
      </c>
      <c r="G14" s="13" t="n">
        <f aca="false">IF(E14="",0,D14/(F14*12))</f>
        <v>41.6666666666667</v>
      </c>
      <c r="H14" s="12" t="n">
        <v>0.25</v>
      </c>
      <c r="I14" s="11" t="n">
        <v>300</v>
      </c>
      <c r="J14" s="9" t="n">
        <v>8</v>
      </c>
      <c r="K14" s="18" t="n">
        <f aca="false">IF(J14=0,0,I14/12/J14)</f>
        <v>3.125</v>
      </c>
      <c r="L14" s="18" t="n">
        <f aca="false">IF(J14=0,0,G14/J14)</f>
        <v>5.20833333333333</v>
      </c>
      <c r="M14" s="8" t="s">
        <v>202</v>
      </c>
      <c r="N14" s="8" t="s">
        <v>203</v>
      </c>
    </row>
    <row r="15" customFormat="false" ht="85.05" hidden="false" customHeight="false" outlineLevel="0" collapsed="false">
      <c r="A15" s="6" t="s">
        <v>204</v>
      </c>
      <c r="B15" s="6" t="s">
        <v>205</v>
      </c>
      <c r="C15" s="19" t="s">
        <v>206</v>
      </c>
      <c r="D15" s="11" t="n">
        <v>15000</v>
      </c>
      <c r="E15" s="9" t="n">
        <v>0</v>
      </c>
      <c r="F15" s="9" t="n">
        <v>8</v>
      </c>
      <c r="G15" s="13" t="n">
        <f aca="false">IF(E15="",0,D15/(F15*12))</f>
        <v>156.25</v>
      </c>
      <c r="H15" s="12" t="n">
        <v>0.1</v>
      </c>
      <c r="I15" s="11" t="n">
        <v>750</v>
      </c>
      <c r="J15" s="9" t="n">
        <v>25</v>
      </c>
      <c r="K15" s="18" t="n">
        <f aca="false">IF(J15=0,0,I15/12/J15)</f>
        <v>2.5</v>
      </c>
      <c r="L15" s="18" t="n">
        <f aca="false">IF(J15=0,0,G15/J15)</f>
        <v>6.25</v>
      </c>
      <c r="M15" s="8" t="s">
        <v>207</v>
      </c>
      <c r="N15" s="8" t="s">
        <v>208</v>
      </c>
    </row>
    <row r="16" customFormat="false" ht="37.3" hidden="false" customHeight="false" outlineLevel="0" collapsed="false">
      <c r="A16" s="6" t="s">
        <v>209</v>
      </c>
      <c r="B16" s="6" t="s">
        <v>210</v>
      </c>
      <c r="C16" s="8" t="s">
        <v>211</v>
      </c>
      <c r="D16" s="11" t="n">
        <v>2500</v>
      </c>
      <c r="E16" s="9" t="n">
        <v>0</v>
      </c>
      <c r="F16" s="9" t="n">
        <v>10</v>
      </c>
      <c r="G16" s="13" t="n">
        <f aca="false">IF(E16="",0,D16/(F16*12))</f>
        <v>20.8333333333333</v>
      </c>
      <c r="H16" s="12" t="n">
        <v>0</v>
      </c>
      <c r="I16" s="11" t="n">
        <v>150</v>
      </c>
      <c r="J16" s="9" t="n">
        <v>25</v>
      </c>
      <c r="K16" s="18" t="n">
        <f aca="false">IF(J16=0,0,I16/12/J16)</f>
        <v>0.5</v>
      </c>
      <c r="L16" s="18" t="n">
        <f aca="false">IF(J16=0,0,G16/J16)</f>
        <v>0.833333333333333</v>
      </c>
      <c r="M16" s="8" t="s">
        <v>212</v>
      </c>
      <c r="N16" s="8" t="s">
        <v>213</v>
      </c>
    </row>
    <row r="17" customFormat="false" ht="19.4" hidden="false" customHeight="false" outlineLevel="0" collapsed="false">
      <c r="A17" s="6" t="s">
        <v>214</v>
      </c>
      <c r="B17" s="6" t="s">
        <v>215</v>
      </c>
      <c r="C17" s="8" t="s">
        <v>211</v>
      </c>
      <c r="D17" s="11" t="n">
        <v>1500</v>
      </c>
      <c r="E17" s="9" t="n">
        <v>0</v>
      </c>
      <c r="F17" s="9" t="n">
        <v>9</v>
      </c>
      <c r="G17" s="13" t="n">
        <f aca="false">IF(E17="",0,D17/(F17*12))</f>
        <v>13.8888888888889</v>
      </c>
      <c r="H17" s="12" t="n">
        <v>0.1</v>
      </c>
      <c r="I17" s="11" t="n">
        <v>100</v>
      </c>
      <c r="J17" s="9" t="n">
        <v>25</v>
      </c>
      <c r="K17" s="18" t="n">
        <f aca="false">IF(J17=0,0,I17/12/J17)</f>
        <v>0.333333333333333</v>
      </c>
      <c r="L17" s="18" t="n">
        <f aca="false">IF(J17=0,0,G17/J17)</f>
        <v>0.555555555555556</v>
      </c>
      <c r="M17" s="8" t="s">
        <v>216</v>
      </c>
      <c r="N17" s="8" t="s">
        <v>217</v>
      </c>
    </row>
    <row r="20" customFormat="false" ht="15" hidden="false" customHeight="false" outlineLevel="0" collapsed="false">
      <c r="A20" s="3" t="s">
        <v>218</v>
      </c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20" t="s">
        <v>219</v>
      </c>
      <c r="C21" s="20" t="s">
        <v>220</v>
      </c>
      <c r="D21" s="20" t="s">
        <v>221</v>
      </c>
      <c r="E21" s="20" t="s">
        <v>146</v>
      </c>
      <c r="F21" s="20" t="s">
        <v>147</v>
      </c>
      <c r="G21" s="20" t="s">
        <v>222</v>
      </c>
    </row>
    <row r="22" customFormat="false" ht="28.35" hidden="false" customHeight="false" outlineLevel="0" collapsed="false">
      <c r="A22" s="6" t="s">
        <v>223</v>
      </c>
      <c r="C22" s="8" t="s">
        <v>224</v>
      </c>
      <c r="D22" s="11" t="n">
        <v>0</v>
      </c>
      <c r="E22" s="9" t="n">
        <v>0</v>
      </c>
      <c r="F22" s="9" t="n">
        <v>10</v>
      </c>
      <c r="G22" s="13" t="n">
        <f aca="false">IF(OR(E22="",F22=0),0,D22/(F22*12))</f>
        <v>0</v>
      </c>
    </row>
    <row r="23" customFormat="false" ht="15" hidden="false" customHeight="false" outlineLevel="0" collapsed="false">
      <c r="A23" s="6" t="s">
        <v>225</v>
      </c>
      <c r="C23" s="8" t="s">
        <v>226</v>
      </c>
      <c r="D23" s="11" t="n">
        <v>8000</v>
      </c>
      <c r="E23" s="9" t="n">
        <v>6</v>
      </c>
      <c r="F23" s="9" t="n">
        <v>5</v>
      </c>
      <c r="G23" s="13" t="n">
        <f aca="false">IF(OR(E23="",F23=0),0,D23/(F23*12))</f>
        <v>133.333333333333</v>
      </c>
    </row>
    <row r="24" customFormat="false" ht="15" hidden="false" customHeight="false" outlineLevel="0" collapsed="false">
      <c r="A24" s="6" t="s">
        <v>227</v>
      </c>
      <c r="C24" s="8"/>
      <c r="D24" s="11" t="n">
        <v>0</v>
      </c>
      <c r="E24" s="9"/>
      <c r="F24" s="9" t="n">
        <v>5</v>
      </c>
      <c r="G24" s="13" t="n">
        <f aca="false">IF(OR(E24="",F24=0),0,D24/(F24*12))</f>
        <v>0</v>
      </c>
    </row>
    <row r="25" customFormat="false" ht="15" hidden="false" customHeight="false" outlineLevel="0" collapsed="false">
      <c r="A25" s="6" t="s">
        <v>228</v>
      </c>
      <c r="C25" s="8"/>
      <c r="D25" s="11" t="n">
        <v>0</v>
      </c>
      <c r="E25" s="9"/>
      <c r="F25" s="9" t="n">
        <v>5</v>
      </c>
      <c r="G25" s="13" t="n">
        <f aca="false">IF(OR(E25="",F25=0),0,D25/(F25*12))</f>
        <v>0</v>
      </c>
    </row>
    <row r="26" customFormat="false" ht="15" hidden="false" customHeight="false" outlineLevel="0" collapsed="false">
      <c r="A26" s="6" t="s">
        <v>229</v>
      </c>
      <c r="C26" s="8"/>
      <c r="D26" s="11" t="n">
        <v>0</v>
      </c>
      <c r="E26" s="9"/>
      <c r="F26" s="9" t="n">
        <v>5</v>
      </c>
      <c r="G26" s="13" t="n">
        <f aca="false">IF(OR(E26="",F26=0),0,D26/(F26*12))</f>
        <v>0</v>
      </c>
    </row>
    <row r="29" customFormat="false" ht="15" hidden="false" customHeight="false" outlineLevel="0" collapsed="false">
      <c r="A29" s="3" t="s">
        <v>230</v>
      </c>
    </row>
    <row r="30" customFormat="false" ht="15" hidden="false" customHeight="false" outlineLevel="0" collapsed="false">
      <c r="A30" s="20" t="s">
        <v>231</v>
      </c>
      <c r="B30" s="21" t="n">
        <v>1</v>
      </c>
      <c r="C30" s="21" t="n">
        <v>2</v>
      </c>
      <c r="D30" s="21" t="n">
        <v>3</v>
      </c>
      <c r="E30" s="21" t="n">
        <v>4</v>
      </c>
      <c r="F30" s="21" t="n">
        <v>5</v>
      </c>
      <c r="G30" s="21" t="n">
        <v>6</v>
      </c>
      <c r="H30" s="21" t="n">
        <v>7</v>
      </c>
      <c r="I30" s="21" t="n">
        <v>8</v>
      </c>
      <c r="J30" s="21" t="n">
        <v>9</v>
      </c>
      <c r="K30" s="21" t="n">
        <v>10</v>
      </c>
      <c r="L30" s="21" t="n">
        <v>11</v>
      </c>
      <c r="M30" s="21" t="n">
        <v>12</v>
      </c>
      <c r="N30" s="21" t="n">
        <v>13</v>
      </c>
      <c r="O30" s="21" t="n">
        <v>14</v>
      </c>
      <c r="P30" s="21" t="n">
        <v>15</v>
      </c>
      <c r="Q30" s="21" t="n">
        <v>16</v>
      </c>
      <c r="R30" s="21" t="n">
        <v>17</v>
      </c>
      <c r="S30" s="21" t="n">
        <v>18</v>
      </c>
      <c r="T30" s="21" t="n">
        <v>19</v>
      </c>
      <c r="U30" s="21" t="n">
        <v>20</v>
      </c>
      <c r="V30" s="21" t="n">
        <v>21</v>
      </c>
      <c r="W30" s="21" t="n">
        <v>22</v>
      </c>
      <c r="X30" s="21" t="n">
        <v>23</v>
      </c>
      <c r="Y30" s="21" t="n">
        <v>24</v>
      </c>
      <c r="Z30" s="21" t="n">
        <v>25</v>
      </c>
      <c r="AA30" s="21" t="n">
        <v>26</v>
      </c>
      <c r="AB30" s="21" t="n">
        <v>27</v>
      </c>
      <c r="AC30" s="21" t="n">
        <v>28</v>
      </c>
      <c r="AD30" s="21" t="n">
        <v>29</v>
      </c>
      <c r="AE30" s="21" t="n">
        <v>30</v>
      </c>
      <c r="AF30" s="21" t="n">
        <v>31</v>
      </c>
      <c r="AG30" s="21" t="n">
        <v>32</v>
      </c>
      <c r="AH30" s="21" t="n">
        <v>33</v>
      </c>
      <c r="AI30" s="21" t="n">
        <v>34</v>
      </c>
      <c r="AJ30" s="21" t="n">
        <v>35</v>
      </c>
      <c r="AK30" s="21" t="n">
        <v>36</v>
      </c>
    </row>
    <row r="31" customFormat="false" ht="15" hidden="false" customHeight="false" outlineLevel="0" collapsed="false">
      <c r="A31" s="2" t="str">
        <f aca="false">A5</f>
        <v>Diode laser hair-removal platform</v>
      </c>
      <c r="B31" s="22" t="n">
        <f aca="false">IF($E5="",0,IF(AND(COLUMN()-1&gt;=MAX($E5,1),COLUMN()-1&lt;$E5+$F5*12),$G5,0))</f>
        <v>214.285714285714</v>
      </c>
      <c r="C31" s="22" t="n">
        <f aca="false">IF($E5="",0,IF(AND(COLUMN()-1&gt;=MAX($E5,1),COLUMN()-1&lt;$E5+$F5*12),$G5,0))</f>
        <v>214.285714285714</v>
      </c>
      <c r="D31" s="22" t="n">
        <f aca="false">IF($E5="",0,IF(AND(COLUMN()-1&gt;=MAX($E5,1),COLUMN()-1&lt;$E5+$F5*12),$G5,0))</f>
        <v>214.285714285714</v>
      </c>
      <c r="E31" s="22" t="n">
        <f aca="false">IF($E5="",0,IF(AND(COLUMN()-1&gt;=MAX($E5,1),COLUMN()-1&lt;$E5+$F5*12),$G5,0))</f>
        <v>214.285714285714</v>
      </c>
      <c r="F31" s="22" t="n">
        <f aca="false">IF($E5="",0,IF(AND(COLUMN()-1&gt;=MAX($E5,1),COLUMN()-1&lt;$E5+$F5*12),$G5,0))</f>
        <v>214.285714285714</v>
      </c>
      <c r="G31" s="22" t="n">
        <f aca="false">IF($E5="",0,IF(AND(COLUMN()-1&gt;=MAX($E5,1),COLUMN()-1&lt;$E5+$F5*12),$G5,0))</f>
        <v>214.285714285714</v>
      </c>
      <c r="H31" s="22" t="n">
        <f aca="false">IF($E5="",0,IF(AND(COLUMN()-1&gt;=MAX($E5,1),COLUMN()-1&lt;$E5+$F5*12),$G5,0))</f>
        <v>214.285714285714</v>
      </c>
      <c r="I31" s="22" t="n">
        <f aca="false">IF($E5="",0,IF(AND(COLUMN()-1&gt;=MAX($E5,1),COLUMN()-1&lt;$E5+$F5*12),$G5,0))</f>
        <v>214.285714285714</v>
      </c>
      <c r="J31" s="22" t="n">
        <f aca="false">IF($E5="",0,IF(AND(COLUMN()-1&gt;=MAX($E5,1),COLUMN()-1&lt;$E5+$F5*12),$G5,0))</f>
        <v>214.285714285714</v>
      </c>
      <c r="K31" s="22" t="n">
        <f aca="false">IF($E5="",0,IF(AND(COLUMN()-1&gt;=MAX($E5,1),COLUMN()-1&lt;$E5+$F5*12),$G5,0))</f>
        <v>214.285714285714</v>
      </c>
      <c r="L31" s="22" t="n">
        <f aca="false">IF($E5="",0,IF(AND(COLUMN()-1&gt;=MAX($E5,1),COLUMN()-1&lt;$E5+$F5*12),$G5,0))</f>
        <v>214.285714285714</v>
      </c>
      <c r="M31" s="22" t="n">
        <f aca="false">IF($E5="",0,IF(AND(COLUMN()-1&gt;=MAX($E5,1),COLUMN()-1&lt;$E5+$F5*12),$G5,0))</f>
        <v>214.285714285714</v>
      </c>
      <c r="N31" s="22" t="n">
        <f aca="false">IF($E5="",0,IF(AND(COLUMN()-1&gt;=MAX($E5,1),COLUMN()-1&lt;$E5+$F5*12),$G5,0))</f>
        <v>214.285714285714</v>
      </c>
      <c r="O31" s="22" t="n">
        <f aca="false">IF($E5="",0,IF(AND(COLUMN()-1&gt;=MAX($E5,1),COLUMN()-1&lt;$E5+$F5*12),$G5,0))</f>
        <v>214.285714285714</v>
      </c>
      <c r="P31" s="22" t="n">
        <f aca="false">IF($E5="",0,IF(AND(COLUMN()-1&gt;=MAX($E5,1),COLUMN()-1&lt;$E5+$F5*12),$G5,0))</f>
        <v>214.285714285714</v>
      </c>
      <c r="Q31" s="22" t="n">
        <f aca="false">IF($E5="",0,IF(AND(COLUMN()-1&gt;=MAX($E5,1),COLUMN()-1&lt;$E5+$F5*12),$G5,0))</f>
        <v>214.285714285714</v>
      </c>
      <c r="R31" s="22" t="n">
        <f aca="false">IF($E5="",0,IF(AND(COLUMN()-1&gt;=MAX($E5,1),COLUMN()-1&lt;$E5+$F5*12),$G5,0))</f>
        <v>214.285714285714</v>
      </c>
      <c r="S31" s="22" t="n">
        <f aca="false">IF($E5="",0,IF(AND(COLUMN()-1&gt;=MAX($E5,1),COLUMN()-1&lt;$E5+$F5*12),$G5,0))</f>
        <v>214.285714285714</v>
      </c>
      <c r="T31" s="22" t="n">
        <f aca="false">IF($E5="",0,IF(AND(COLUMN()-1&gt;=MAX($E5,1),COLUMN()-1&lt;$E5+$F5*12),$G5,0))</f>
        <v>214.285714285714</v>
      </c>
      <c r="U31" s="22" t="n">
        <f aca="false">IF($E5="",0,IF(AND(COLUMN()-1&gt;=MAX($E5,1),COLUMN()-1&lt;$E5+$F5*12),$G5,0))</f>
        <v>214.285714285714</v>
      </c>
      <c r="V31" s="22" t="n">
        <f aca="false">IF($E5="",0,IF(AND(COLUMN()-1&gt;=MAX($E5,1),COLUMN()-1&lt;$E5+$F5*12),$G5,0))</f>
        <v>214.285714285714</v>
      </c>
      <c r="W31" s="22" t="n">
        <f aca="false">IF($E5="",0,IF(AND(COLUMN()-1&gt;=MAX($E5,1),COLUMN()-1&lt;$E5+$F5*12),$G5,0))</f>
        <v>214.285714285714</v>
      </c>
      <c r="X31" s="22" t="n">
        <f aca="false">IF($E5="",0,IF(AND(COLUMN()-1&gt;=MAX($E5,1),COLUMN()-1&lt;$E5+$F5*12),$G5,0))</f>
        <v>214.285714285714</v>
      </c>
      <c r="Y31" s="22" t="n">
        <f aca="false">IF($E5="",0,IF(AND(COLUMN()-1&gt;=MAX($E5,1),COLUMN()-1&lt;$E5+$F5*12),$G5,0))</f>
        <v>214.285714285714</v>
      </c>
      <c r="Z31" s="22" t="n">
        <f aca="false">IF($E5="",0,IF(AND(COLUMN()-1&gt;=MAX($E5,1),COLUMN()-1&lt;$E5+$F5*12),$G5,0))</f>
        <v>214.285714285714</v>
      </c>
      <c r="AA31" s="22" t="n">
        <f aca="false">IF($E5="",0,IF(AND(COLUMN()-1&gt;=MAX($E5,1),COLUMN()-1&lt;$E5+$F5*12),$G5,0))</f>
        <v>214.285714285714</v>
      </c>
      <c r="AB31" s="22" t="n">
        <f aca="false">IF($E5="",0,IF(AND(COLUMN()-1&gt;=MAX($E5,1),COLUMN()-1&lt;$E5+$F5*12),$G5,0))</f>
        <v>214.285714285714</v>
      </c>
      <c r="AC31" s="22" t="n">
        <f aca="false">IF($E5="",0,IF(AND(COLUMN()-1&gt;=MAX($E5,1),COLUMN()-1&lt;$E5+$F5*12),$G5,0))</f>
        <v>214.285714285714</v>
      </c>
      <c r="AD31" s="22" t="n">
        <f aca="false">IF($E5="",0,IF(AND(COLUMN()-1&gt;=MAX($E5,1),COLUMN()-1&lt;$E5+$F5*12),$G5,0))</f>
        <v>214.285714285714</v>
      </c>
      <c r="AE31" s="22" t="n">
        <f aca="false">IF($E5="",0,IF(AND(COLUMN()-1&gt;=MAX($E5,1),COLUMN()-1&lt;$E5+$F5*12),$G5,0))</f>
        <v>214.285714285714</v>
      </c>
      <c r="AF31" s="22" t="n">
        <f aca="false">IF($E5="",0,IF(AND(COLUMN()-1&gt;=MAX($E5,1),COLUMN()-1&lt;$E5+$F5*12),$G5,0))</f>
        <v>214.285714285714</v>
      </c>
      <c r="AG31" s="22" t="n">
        <f aca="false">IF($E5="",0,IF(AND(COLUMN()-1&gt;=MAX($E5,1),COLUMN()-1&lt;$E5+$F5*12),$G5,0))</f>
        <v>214.285714285714</v>
      </c>
      <c r="AH31" s="22" t="n">
        <f aca="false">IF($E5="",0,IF(AND(COLUMN()-1&gt;=MAX($E5,1),COLUMN()-1&lt;$E5+$F5*12),$G5,0))</f>
        <v>214.285714285714</v>
      </c>
      <c r="AI31" s="22" t="n">
        <f aca="false">IF($E5="",0,IF(AND(COLUMN()-1&gt;=MAX($E5,1),COLUMN()-1&lt;$E5+$F5*12),$G5,0))</f>
        <v>214.285714285714</v>
      </c>
      <c r="AJ31" s="22" t="n">
        <f aca="false">IF($E5="",0,IF(AND(COLUMN()-1&gt;=MAX($E5,1),COLUMN()-1&lt;$E5+$F5*12),$G5,0))</f>
        <v>214.285714285714</v>
      </c>
      <c r="AK31" s="22" t="n">
        <f aca="false">IF($E5="",0,IF(AND(COLUMN()-1&gt;=MAX($E5,1),COLUMN()-1&lt;$E5+$F5*12),$G5,0))</f>
        <v>214.285714285714</v>
      </c>
    </row>
    <row r="32" customFormat="false" ht="15" hidden="false" customHeight="false" outlineLevel="0" collapsed="false">
      <c r="A32" s="2" t="str">
        <f aca="false">A6</f>
        <v>Multi-application laser/IPL skin platform (shared 'laser' resource pool; may be same combi chassis as diode — Lynton Lumina class covers both for £30k–£50k)</v>
      </c>
      <c r="B32" s="22" t="n">
        <f aca="false">IF($E6="",0,IF(AND(COLUMN()-1&gt;=MAX($E6,1),COLUMN()-1&lt;$E6+$F6*12),$G6,0))</f>
        <v>468.75</v>
      </c>
      <c r="C32" s="22" t="n">
        <f aca="false">IF($E6="",0,IF(AND(COLUMN()-1&gt;=MAX($E6,1),COLUMN()-1&lt;$E6+$F6*12),$G6,0))</f>
        <v>468.75</v>
      </c>
      <c r="D32" s="22" t="n">
        <f aca="false">IF($E6="",0,IF(AND(COLUMN()-1&gt;=MAX($E6,1),COLUMN()-1&lt;$E6+$F6*12),$G6,0))</f>
        <v>468.75</v>
      </c>
      <c r="E32" s="22" t="n">
        <f aca="false">IF($E6="",0,IF(AND(COLUMN()-1&gt;=MAX($E6,1),COLUMN()-1&lt;$E6+$F6*12),$G6,0))</f>
        <v>468.75</v>
      </c>
      <c r="F32" s="22" t="n">
        <f aca="false">IF($E6="",0,IF(AND(COLUMN()-1&gt;=MAX($E6,1),COLUMN()-1&lt;$E6+$F6*12),$G6,0))</f>
        <v>468.75</v>
      </c>
      <c r="G32" s="22" t="n">
        <f aca="false">IF($E6="",0,IF(AND(COLUMN()-1&gt;=MAX($E6,1),COLUMN()-1&lt;$E6+$F6*12),$G6,0))</f>
        <v>468.75</v>
      </c>
      <c r="H32" s="22" t="n">
        <f aca="false">IF($E6="",0,IF(AND(COLUMN()-1&gt;=MAX($E6,1),COLUMN()-1&lt;$E6+$F6*12),$G6,0))</f>
        <v>468.75</v>
      </c>
      <c r="I32" s="22" t="n">
        <f aca="false">IF($E6="",0,IF(AND(COLUMN()-1&gt;=MAX($E6,1),COLUMN()-1&lt;$E6+$F6*12),$G6,0))</f>
        <v>468.75</v>
      </c>
      <c r="J32" s="22" t="n">
        <f aca="false">IF($E6="",0,IF(AND(COLUMN()-1&gt;=MAX($E6,1),COLUMN()-1&lt;$E6+$F6*12),$G6,0))</f>
        <v>468.75</v>
      </c>
      <c r="K32" s="22" t="n">
        <f aca="false">IF($E6="",0,IF(AND(COLUMN()-1&gt;=MAX($E6,1),COLUMN()-1&lt;$E6+$F6*12),$G6,0))</f>
        <v>468.75</v>
      </c>
      <c r="L32" s="22" t="n">
        <f aca="false">IF($E6="",0,IF(AND(COLUMN()-1&gt;=MAX($E6,1),COLUMN()-1&lt;$E6+$F6*12),$G6,0))</f>
        <v>468.75</v>
      </c>
      <c r="M32" s="22" t="n">
        <f aca="false">IF($E6="",0,IF(AND(COLUMN()-1&gt;=MAX($E6,1),COLUMN()-1&lt;$E6+$F6*12),$G6,0))</f>
        <v>468.75</v>
      </c>
      <c r="N32" s="22" t="n">
        <f aca="false">IF($E6="",0,IF(AND(COLUMN()-1&gt;=MAX($E6,1),COLUMN()-1&lt;$E6+$F6*12),$G6,0))</f>
        <v>468.75</v>
      </c>
      <c r="O32" s="22" t="n">
        <f aca="false">IF($E6="",0,IF(AND(COLUMN()-1&gt;=MAX($E6,1),COLUMN()-1&lt;$E6+$F6*12),$G6,0))</f>
        <v>468.75</v>
      </c>
      <c r="P32" s="22" t="n">
        <f aca="false">IF($E6="",0,IF(AND(COLUMN()-1&gt;=MAX($E6,1),COLUMN()-1&lt;$E6+$F6*12),$G6,0))</f>
        <v>468.75</v>
      </c>
      <c r="Q32" s="22" t="n">
        <f aca="false">IF($E6="",0,IF(AND(COLUMN()-1&gt;=MAX($E6,1),COLUMN()-1&lt;$E6+$F6*12),$G6,0))</f>
        <v>468.75</v>
      </c>
      <c r="R32" s="22" t="n">
        <f aca="false">IF($E6="",0,IF(AND(COLUMN()-1&gt;=MAX($E6,1),COLUMN()-1&lt;$E6+$F6*12),$G6,0))</f>
        <v>468.75</v>
      </c>
      <c r="S32" s="22" t="n">
        <f aca="false">IF($E6="",0,IF(AND(COLUMN()-1&gt;=MAX($E6,1),COLUMN()-1&lt;$E6+$F6*12),$G6,0))</f>
        <v>468.75</v>
      </c>
      <c r="T32" s="22" t="n">
        <f aca="false">IF($E6="",0,IF(AND(COLUMN()-1&gt;=MAX($E6,1),COLUMN()-1&lt;$E6+$F6*12),$G6,0))</f>
        <v>468.75</v>
      </c>
      <c r="U32" s="22" t="n">
        <f aca="false">IF($E6="",0,IF(AND(COLUMN()-1&gt;=MAX($E6,1),COLUMN()-1&lt;$E6+$F6*12),$G6,0))</f>
        <v>468.75</v>
      </c>
      <c r="V32" s="22" t="n">
        <f aca="false">IF($E6="",0,IF(AND(COLUMN()-1&gt;=MAX($E6,1),COLUMN()-1&lt;$E6+$F6*12),$G6,0))</f>
        <v>468.75</v>
      </c>
      <c r="W32" s="22" t="n">
        <f aca="false">IF($E6="",0,IF(AND(COLUMN()-1&gt;=MAX($E6,1),COLUMN()-1&lt;$E6+$F6*12),$G6,0))</f>
        <v>468.75</v>
      </c>
      <c r="X32" s="22" t="n">
        <f aca="false">IF($E6="",0,IF(AND(COLUMN()-1&gt;=MAX($E6,1),COLUMN()-1&lt;$E6+$F6*12),$G6,0))</f>
        <v>468.75</v>
      </c>
      <c r="Y32" s="22" t="n">
        <f aca="false">IF($E6="",0,IF(AND(COLUMN()-1&gt;=MAX($E6,1),COLUMN()-1&lt;$E6+$F6*12),$G6,0))</f>
        <v>468.75</v>
      </c>
      <c r="Z32" s="22" t="n">
        <f aca="false">IF($E6="",0,IF(AND(COLUMN()-1&gt;=MAX($E6,1),COLUMN()-1&lt;$E6+$F6*12),$G6,0))</f>
        <v>468.75</v>
      </c>
      <c r="AA32" s="22" t="n">
        <f aca="false">IF($E6="",0,IF(AND(COLUMN()-1&gt;=MAX($E6,1),COLUMN()-1&lt;$E6+$F6*12),$G6,0))</f>
        <v>468.75</v>
      </c>
      <c r="AB32" s="22" t="n">
        <f aca="false">IF($E6="",0,IF(AND(COLUMN()-1&gt;=MAX($E6,1),COLUMN()-1&lt;$E6+$F6*12),$G6,0))</f>
        <v>468.75</v>
      </c>
      <c r="AC32" s="22" t="n">
        <f aca="false">IF($E6="",0,IF(AND(COLUMN()-1&gt;=MAX($E6,1),COLUMN()-1&lt;$E6+$F6*12),$G6,0))</f>
        <v>468.75</v>
      </c>
      <c r="AD32" s="22" t="n">
        <f aca="false">IF($E6="",0,IF(AND(COLUMN()-1&gt;=MAX($E6,1),COLUMN()-1&lt;$E6+$F6*12),$G6,0))</f>
        <v>468.75</v>
      </c>
      <c r="AE32" s="22" t="n">
        <f aca="false">IF($E6="",0,IF(AND(COLUMN()-1&gt;=MAX($E6,1),COLUMN()-1&lt;$E6+$F6*12),$G6,0))</f>
        <v>468.75</v>
      </c>
      <c r="AF32" s="22" t="n">
        <f aca="false">IF($E6="",0,IF(AND(COLUMN()-1&gt;=MAX($E6,1),COLUMN()-1&lt;$E6+$F6*12),$G6,0))</f>
        <v>468.75</v>
      </c>
      <c r="AG32" s="22" t="n">
        <f aca="false">IF($E6="",0,IF(AND(COLUMN()-1&gt;=MAX($E6,1),COLUMN()-1&lt;$E6+$F6*12),$G6,0))</f>
        <v>468.75</v>
      </c>
      <c r="AH32" s="22" t="n">
        <f aca="false">IF($E6="",0,IF(AND(COLUMN()-1&gt;=MAX($E6,1),COLUMN()-1&lt;$E6+$F6*12),$G6,0))</f>
        <v>468.75</v>
      </c>
      <c r="AI32" s="22" t="n">
        <f aca="false">IF($E6="",0,IF(AND(COLUMN()-1&gt;=MAX($E6,1),COLUMN()-1&lt;$E6+$F6*12),$G6,0))</f>
        <v>468.75</v>
      </c>
      <c r="AJ32" s="22" t="n">
        <f aca="false">IF($E6="",0,IF(AND(COLUMN()-1&gt;=MAX($E6,1),COLUMN()-1&lt;$E6+$F6*12),$G6,0))</f>
        <v>468.75</v>
      </c>
      <c r="AK32" s="22" t="n">
        <f aca="false">IF($E6="",0,IF(AND(COLUMN()-1&gt;=MAX($E6,1),COLUMN()-1&lt;$E6+$F6*12),$G6,0))</f>
        <v>468.75</v>
      </c>
    </row>
    <row r="33" customFormat="false" ht="15" hidden="false" customHeight="false" outlineLevel="0" collapsed="false">
      <c r="A33" s="2" t="str">
        <f aca="false">A7</f>
        <v>Q-switched/picosecond tattoo &amp; pigment laser</v>
      </c>
      <c r="B33" s="22" t="n">
        <f aca="false">IF($E7="",0,IF(AND(COLUMN()-1&gt;=MAX($E7,1),COLUMN()-1&lt;$E7+$F7*12),$G7,0))</f>
        <v>0</v>
      </c>
      <c r="C33" s="22" t="n">
        <f aca="false">IF($E7="",0,IF(AND(COLUMN()-1&gt;=MAX($E7,1),COLUMN()-1&lt;$E7+$F7*12),$G7,0))</f>
        <v>0</v>
      </c>
      <c r="D33" s="22" t="n">
        <f aca="false">IF($E7="",0,IF(AND(COLUMN()-1&gt;=MAX($E7,1),COLUMN()-1&lt;$E7+$F7*12),$G7,0))</f>
        <v>0</v>
      </c>
      <c r="E33" s="22" t="n">
        <f aca="false">IF($E7="",0,IF(AND(COLUMN()-1&gt;=MAX($E7,1),COLUMN()-1&lt;$E7+$F7*12),$G7,0))</f>
        <v>0</v>
      </c>
      <c r="F33" s="22" t="n">
        <f aca="false">IF($E7="",0,IF(AND(COLUMN()-1&gt;=MAX($E7,1),COLUMN()-1&lt;$E7+$F7*12),$G7,0))</f>
        <v>0</v>
      </c>
      <c r="G33" s="22" t="n">
        <f aca="false">IF($E7="",0,IF(AND(COLUMN()-1&gt;=MAX($E7,1),COLUMN()-1&lt;$E7+$F7*12),$G7,0))</f>
        <v>0</v>
      </c>
      <c r="H33" s="22" t="n">
        <f aca="false">IF($E7="",0,IF(AND(COLUMN()-1&gt;=MAX($E7,1),COLUMN()-1&lt;$E7+$F7*12),$G7,0))</f>
        <v>0</v>
      </c>
      <c r="I33" s="22" t="n">
        <f aca="false">IF($E7="",0,IF(AND(COLUMN()-1&gt;=MAX($E7,1),COLUMN()-1&lt;$E7+$F7*12),$G7,0))</f>
        <v>0</v>
      </c>
      <c r="J33" s="22" t="n">
        <f aca="false">IF($E7="",0,IF(AND(COLUMN()-1&gt;=MAX($E7,1),COLUMN()-1&lt;$E7+$F7*12),$G7,0))</f>
        <v>0</v>
      </c>
      <c r="K33" s="22" t="n">
        <f aca="false">IF($E7="",0,IF(AND(COLUMN()-1&gt;=MAX($E7,1),COLUMN()-1&lt;$E7+$F7*12),$G7,0))</f>
        <v>0</v>
      </c>
      <c r="L33" s="22" t="n">
        <f aca="false">IF($E7="",0,IF(AND(COLUMN()-1&gt;=MAX($E7,1),COLUMN()-1&lt;$E7+$F7*12),$G7,0))</f>
        <v>0</v>
      </c>
      <c r="M33" s="22" t="n">
        <f aca="false">IF($E7="",0,IF(AND(COLUMN()-1&gt;=MAX($E7,1),COLUMN()-1&lt;$E7+$F7*12),$G7,0))</f>
        <v>0</v>
      </c>
      <c r="N33" s="22" t="n">
        <f aca="false">IF($E7="",0,IF(AND(COLUMN()-1&gt;=MAX($E7,1),COLUMN()-1&lt;$E7+$F7*12),$G7,0))</f>
        <v>0</v>
      </c>
      <c r="O33" s="22" t="n">
        <f aca="false">IF($E7="",0,IF(AND(COLUMN()-1&gt;=MAX($E7,1),COLUMN()-1&lt;$E7+$F7*12),$G7,0))</f>
        <v>0</v>
      </c>
      <c r="P33" s="22" t="n">
        <f aca="false">IF($E7="",0,IF(AND(COLUMN()-1&gt;=MAX($E7,1),COLUMN()-1&lt;$E7+$F7*12),$G7,0))</f>
        <v>0</v>
      </c>
      <c r="Q33" s="22" t="n">
        <f aca="false">IF($E7="",0,IF(AND(COLUMN()-1&gt;=MAX($E7,1),COLUMN()-1&lt;$E7+$F7*12),$G7,0))</f>
        <v>0</v>
      </c>
      <c r="R33" s="22" t="n">
        <f aca="false">IF($E7="",0,IF(AND(COLUMN()-1&gt;=MAX($E7,1),COLUMN()-1&lt;$E7+$F7*12),$G7,0))</f>
        <v>0</v>
      </c>
      <c r="S33" s="22" t="n">
        <f aca="false">IF($E7="",0,IF(AND(COLUMN()-1&gt;=MAX($E7,1),COLUMN()-1&lt;$E7+$F7*12),$G7,0))</f>
        <v>0</v>
      </c>
      <c r="T33" s="22" t="n">
        <f aca="false">IF($E7="",0,IF(AND(COLUMN()-1&gt;=MAX($E7,1),COLUMN()-1&lt;$E7+$F7*12),$G7,0))</f>
        <v>0</v>
      </c>
      <c r="U33" s="22" t="n">
        <f aca="false">IF($E7="",0,IF(AND(COLUMN()-1&gt;=MAX($E7,1),COLUMN()-1&lt;$E7+$F7*12),$G7,0))</f>
        <v>0</v>
      </c>
      <c r="V33" s="22" t="n">
        <f aca="false">IF($E7="",0,IF(AND(COLUMN()-1&gt;=MAX($E7,1),COLUMN()-1&lt;$E7+$F7*12),$G7,0))</f>
        <v>0</v>
      </c>
      <c r="W33" s="22" t="n">
        <f aca="false">IF($E7="",0,IF(AND(COLUMN()-1&gt;=MAX($E7,1),COLUMN()-1&lt;$E7+$F7*12),$G7,0))</f>
        <v>0</v>
      </c>
      <c r="X33" s="22" t="n">
        <f aca="false">IF($E7="",0,IF(AND(COLUMN()-1&gt;=MAX($E7,1),COLUMN()-1&lt;$E7+$F7*12),$G7,0))</f>
        <v>0</v>
      </c>
      <c r="Y33" s="22" t="n">
        <f aca="false">IF($E7="",0,IF(AND(COLUMN()-1&gt;=MAX($E7,1),COLUMN()-1&lt;$E7+$F7*12),$G7,0))</f>
        <v>0</v>
      </c>
      <c r="Z33" s="22" t="n">
        <f aca="false">IF($E7="",0,IF(AND(COLUMN()-1&gt;=MAX($E7,1),COLUMN()-1&lt;$E7+$F7*12),$G7,0))</f>
        <v>0</v>
      </c>
      <c r="AA33" s="22" t="n">
        <f aca="false">IF($E7="",0,IF(AND(COLUMN()-1&gt;=MAX($E7,1),COLUMN()-1&lt;$E7+$F7*12),$G7,0))</f>
        <v>0</v>
      </c>
      <c r="AB33" s="22" t="n">
        <f aca="false">IF($E7="",0,IF(AND(COLUMN()-1&gt;=MAX($E7,1),COLUMN()-1&lt;$E7+$F7*12),$G7,0))</f>
        <v>0</v>
      </c>
      <c r="AC33" s="22" t="n">
        <f aca="false">IF($E7="",0,IF(AND(COLUMN()-1&gt;=MAX($E7,1),COLUMN()-1&lt;$E7+$F7*12),$G7,0))</f>
        <v>0</v>
      </c>
      <c r="AD33" s="22" t="n">
        <f aca="false">IF($E7="",0,IF(AND(COLUMN()-1&gt;=MAX($E7,1),COLUMN()-1&lt;$E7+$F7*12),$G7,0))</f>
        <v>0</v>
      </c>
      <c r="AE33" s="22" t="n">
        <f aca="false">IF($E7="",0,IF(AND(COLUMN()-1&gt;=MAX($E7,1),COLUMN()-1&lt;$E7+$F7*12),$G7,0))</f>
        <v>0</v>
      </c>
      <c r="AF33" s="22" t="n">
        <f aca="false">IF($E7="",0,IF(AND(COLUMN()-1&gt;=MAX($E7,1),COLUMN()-1&lt;$E7+$F7*12),$G7,0))</f>
        <v>0</v>
      </c>
      <c r="AG33" s="22" t="n">
        <f aca="false">IF($E7="",0,IF(AND(COLUMN()-1&gt;=MAX($E7,1),COLUMN()-1&lt;$E7+$F7*12),$G7,0))</f>
        <v>0</v>
      </c>
      <c r="AH33" s="22" t="n">
        <f aca="false">IF($E7="",0,IF(AND(COLUMN()-1&gt;=MAX($E7,1),COLUMN()-1&lt;$E7+$F7*12),$G7,0))</f>
        <v>0</v>
      </c>
      <c r="AI33" s="22" t="n">
        <f aca="false">IF($E7="",0,IF(AND(COLUMN()-1&gt;=MAX($E7,1),COLUMN()-1&lt;$E7+$F7*12),$G7,0))</f>
        <v>0</v>
      </c>
      <c r="AJ33" s="22" t="n">
        <f aca="false">IF($E7="",0,IF(AND(COLUMN()-1&gt;=MAX($E7,1),COLUMN()-1&lt;$E7+$F7*12),$G7,0))</f>
        <v>0</v>
      </c>
      <c r="AK33" s="22" t="n">
        <f aca="false">IF($E7="",0,IF(AND(COLUMN()-1&gt;=MAX($E7,1),COLUMN()-1&lt;$E7+$F7*12),$G7,0))</f>
        <v>0</v>
      </c>
    </row>
    <row r="34" customFormat="false" ht="15" hidden="false" customHeight="false" outlineLevel="0" collapsed="false">
      <c r="A34" s="2" t="str">
        <f aca="false">A8</f>
        <v>Fractional CO2 laser with intimate/gynae handpiece</v>
      </c>
      <c r="B34" s="22" t="n">
        <f aca="false">IF($E8="",0,IF(AND(COLUMN()-1&gt;=MAX($E8,1),COLUMN()-1&lt;$E8+$F8*12),$G8,0))</f>
        <v>509.259259259259</v>
      </c>
      <c r="C34" s="22" t="n">
        <f aca="false">IF($E8="",0,IF(AND(COLUMN()-1&gt;=MAX($E8,1),COLUMN()-1&lt;$E8+$F8*12),$G8,0))</f>
        <v>509.259259259259</v>
      </c>
      <c r="D34" s="22" t="n">
        <f aca="false">IF($E8="",0,IF(AND(COLUMN()-1&gt;=MAX($E8,1),COLUMN()-1&lt;$E8+$F8*12),$G8,0))</f>
        <v>509.259259259259</v>
      </c>
      <c r="E34" s="22" t="n">
        <f aca="false">IF($E8="",0,IF(AND(COLUMN()-1&gt;=MAX($E8,1),COLUMN()-1&lt;$E8+$F8*12),$G8,0))</f>
        <v>509.259259259259</v>
      </c>
      <c r="F34" s="22" t="n">
        <f aca="false">IF($E8="",0,IF(AND(COLUMN()-1&gt;=MAX($E8,1),COLUMN()-1&lt;$E8+$F8*12),$G8,0))</f>
        <v>509.259259259259</v>
      </c>
      <c r="G34" s="22" t="n">
        <f aca="false">IF($E8="",0,IF(AND(COLUMN()-1&gt;=MAX($E8,1),COLUMN()-1&lt;$E8+$F8*12),$G8,0))</f>
        <v>509.259259259259</v>
      </c>
      <c r="H34" s="22" t="n">
        <f aca="false">IF($E8="",0,IF(AND(COLUMN()-1&gt;=MAX($E8,1),COLUMN()-1&lt;$E8+$F8*12),$G8,0))</f>
        <v>509.259259259259</v>
      </c>
      <c r="I34" s="22" t="n">
        <f aca="false">IF($E8="",0,IF(AND(COLUMN()-1&gt;=MAX($E8,1),COLUMN()-1&lt;$E8+$F8*12),$G8,0))</f>
        <v>509.259259259259</v>
      </c>
      <c r="J34" s="22" t="n">
        <f aca="false">IF($E8="",0,IF(AND(COLUMN()-1&gt;=MAX($E8,1),COLUMN()-1&lt;$E8+$F8*12),$G8,0))</f>
        <v>509.259259259259</v>
      </c>
      <c r="K34" s="22" t="n">
        <f aca="false">IF($E8="",0,IF(AND(COLUMN()-1&gt;=MAX($E8,1),COLUMN()-1&lt;$E8+$F8*12),$G8,0))</f>
        <v>509.259259259259</v>
      </c>
      <c r="L34" s="22" t="n">
        <f aca="false">IF($E8="",0,IF(AND(COLUMN()-1&gt;=MAX($E8,1),COLUMN()-1&lt;$E8+$F8*12),$G8,0))</f>
        <v>509.259259259259</v>
      </c>
      <c r="M34" s="22" t="n">
        <f aca="false">IF($E8="",0,IF(AND(COLUMN()-1&gt;=MAX($E8,1),COLUMN()-1&lt;$E8+$F8*12),$G8,0))</f>
        <v>509.259259259259</v>
      </c>
      <c r="N34" s="22" t="n">
        <f aca="false">IF($E8="",0,IF(AND(COLUMN()-1&gt;=MAX($E8,1),COLUMN()-1&lt;$E8+$F8*12),$G8,0))</f>
        <v>509.259259259259</v>
      </c>
      <c r="O34" s="22" t="n">
        <f aca="false">IF($E8="",0,IF(AND(COLUMN()-1&gt;=MAX($E8,1),COLUMN()-1&lt;$E8+$F8*12),$G8,0))</f>
        <v>509.259259259259</v>
      </c>
      <c r="P34" s="22" t="n">
        <f aca="false">IF($E8="",0,IF(AND(COLUMN()-1&gt;=MAX($E8,1),COLUMN()-1&lt;$E8+$F8*12),$G8,0))</f>
        <v>509.259259259259</v>
      </c>
      <c r="Q34" s="22" t="n">
        <f aca="false">IF($E8="",0,IF(AND(COLUMN()-1&gt;=MAX($E8,1),COLUMN()-1&lt;$E8+$F8*12),$G8,0))</f>
        <v>509.259259259259</v>
      </c>
      <c r="R34" s="22" t="n">
        <f aca="false">IF($E8="",0,IF(AND(COLUMN()-1&gt;=MAX($E8,1),COLUMN()-1&lt;$E8+$F8*12),$G8,0))</f>
        <v>509.259259259259</v>
      </c>
      <c r="S34" s="22" t="n">
        <f aca="false">IF($E8="",0,IF(AND(COLUMN()-1&gt;=MAX($E8,1),COLUMN()-1&lt;$E8+$F8*12),$G8,0))</f>
        <v>509.259259259259</v>
      </c>
      <c r="T34" s="22" t="n">
        <f aca="false">IF($E8="",0,IF(AND(COLUMN()-1&gt;=MAX($E8,1),COLUMN()-1&lt;$E8+$F8*12),$G8,0))</f>
        <v>509.259259259259</v>
      </c>
      <c r="U34" s="22" t="n">
        <f aca="false">IF($E8="",0,IF(AND(COLUMN()-1&gt;=MAX($E8,1),COLUMN()-1&lt;$E8+$F8*12),$G8,0))</f>
        <v>509.259259259259</v>
      </c>
      <c r="V34" s="22" t="n">
        <f aca="false">IF($E8="",0,IF(AND(COLUMN()-1&gt;=MAX($E8,1),COLUMN()-1&lt;$E8+$F8*12),$G8,0))</f>
        <v>509.259259259259</v>
      </c>
      <c r="W34" s="22" t="n">
        <f aca="false">IF($E8="",0,IF(AND(COLUMN()-1&gt;=MAX($E8,1),COLUMN()-1&lt;$E8+$F8*12),$G8,0))</f>
        <v>509.259259259259</v>
      </c>
      <c r="X34" s="22" t="n">
        <f aca="false">IF($E8="",0,IF(AND(COLUMN()-1&gt;=MAX($E8,1),COLUMN()-1&lt;$E8+$F8*12),$G8,0))</f>
        <v>509.259259259259</v>
      </c>
      <c r="Y34" s="22" t="n">
        <f aca="false">IF($E8="",0,IF(AND(COLUMN()-1&gt;=MAX($E8,1),COLUMN()-1&lt;$E8+$F8*12),$G8,0))</f>
        <v>509.259259259259</v>
      </c>
      <c r="Z34" s="22" t="n">
        <f aca="false">IF($E8="",0,IF(AND(COLUMN()-1&gt;=MAX($E8,1),COLUMN()-1&lt;$E8+$F8*12),$G8,0))</f>
        <v>509.259259259259</v>
      </c>
      <c r="AA34" s="22" t="n">
        <f aca="false">IF($E8="",0,IF(AND(COLUMN()-1&gt;=MAX($E8,1),COLUMN()-1&lt;$E8+$F8*12),$G8,0))</f>
        <v>509.259259259259</v>
      </c>
      <c r="AB34" s="22" t="n">
        <f aca="false">IF($E8="",0,IF(AND(COLUMN()-1&gt;=MAX($E8,1),COLUMN()-1&lt;$E8+$F8*12),$G8,0))</f>
        <v>509.259259259259</v>
      </c>
      <c r="AC34" s="22" t="n">
        <f aca="false">IF($E8="",0,IF(AND(COLUMN()-1&gt;=MAX($E8,1),COLUMN()-1&lt;$E8+$F8*12),$G8,0))</f>
        <v>509.259259259259</v>
      </c>
      <c r="AD34" s="22" t="n">
        <f aca="false">IF($E8="",0,IF(AND(COLUMN()-1&gt;=MAX($E8,1),COLUMN()-1&lt;$E8+$F8*12),$G8,0))</f>
        <v>509.259259259259</v>
      </c>
      <c r="AE34" s="22" t="n">
        <f aca="false">IF($E8="",0,IF(AND(COLUMN()-1&gt;=MAX($E8,1),COLUMN()-1&lt;$E8+$F8*12),$G8,0))</f>
        <v>509.259259259259</v>
      </c>
      <c r="AF34" s="22" t="n">
        <f aca="false">IF($E8="",0,IF(AND(COLUMN()-1&gt;=MAX($E8,1),COLUMN()-1&lt;$E8+$F8*12),$G8,0))</f>
        <v>509.259259259259</v>
      </c>
      <c r="AG34" s="22" t="n">
        <f aca="false">IF($E8="",0,IF(AND(COLUMN()-1&gt;=MAX($E8,1),COLUMN()-1&lt;$E8+$F8*12),$G8,0))</f>
        <v>509.259259259259</v>
      </c>
      <c r="AH34" s="22" t="n">
        <f aca="false">IF($E8="",0,IF(AND(COLUMN()-1&gt;=MAX($E8,1),COLUMN()-1&lt;$E8+$F8*12),$G8,0))</f>
        <v>509.259259259259</v>
      </c>
      <c r="AI34" s="22" t="n">
        <f aca="false">IF($E8="",0,IF(AND(COLUMN()-1&gt;=MAX($E8,1),COLUMN()-1&lt;$E8+$F8*12),$G8,0))</f>
        <v>509.259259259259</v>
      </c>
      <c r="AJ34" s="22" t="n">
        <f aca="false">IF($E8="",0,IF(AND(COLUMN()-1&gt;=MAX($E8,1),COLUMN()-1&lt;$E8+$F8*12),$G8,0))</f>
        <v>509.259259259259</v>
      </c>
      <c r="AK34" s="22" t="n">
        <f aca="false">IF($E8="",0,IF(AND(COLUMN()-1&gt;=MAX($E8,1),COLUMN()-1&lt;$E8+$F8*12),$G8,0))</f>
        <v>509.259259259259</v>
      </c>
    </row>
    <row r="35" customFormat="false" ht="15" hidden="false" customHeight="false" outlineLevel="0" collapsed="false">
      <c r="A35" s="2" t="str">
        <f aca="false">A9</f>
        <v>HIFU (SMAS ultrasound) with face + body cartridges</v>
      </c>
      <c r="B35" s="22" t="n">
        <f aca="false">IF($E9="",0,IF(AND(COLUMN()-1&gt;=MAX($E9,1),COLUMN()-1&lt;$E9+$F9*12),$G9,0))</f>
        <v>416.666666666667</v>
      </c>
      <c r="C35" s="22" t="n">
        <f aca="false">IF($E9="",0,IF(AND(COLUMN()-1&gt;=MAX($E9,1),COLUMN()-1&lt;$E9+$F9*12),$G9,0))</f>
        <v>416.666666666667</v>
      </c>
      <c r="D35" s="22" t="n">
        <f aca="false">IF($E9="",0,IF(AND(COLUMN()-1&gt;=MAX($E9,1),COLUMN()-1&lt;$E9+$F9*12),$G9,0))</f>
        <v>416.666666666667</v>
      </c>
      <c r="E35" s="22" t="n">
        <f aca="false">IF($E9="",0,IF(AND(COLUMN()-1&gt;=MAX($E9,1),COLUMN()-1&lt;$E9+$F9*12),$G9,0))</f>
        <v>416.666666666667</v>
      </c>
      <c r="F35" s="22" t="n">
        <f aca="false">IF($E9="",0,IF(AND(COLUMN()-1&gt;=MAX($E9,1),COLUMN()-1&lt;$E9+$F9*12),$G9,0))</f>
        <v>416.666666666667</v>
      </c>
      <c r="G35" s="22" t="n">
        <f aca="false">IF($E9="",0,IF(AND(COLUMN()-1&gt;=MAX($E9,1),COLUMN()-1&lt;$E9+$F9*12),$G9,0))</f>
        <v>416.666666666667</v>
      </c>
      <c r="H35" s="22" t="n">
        <f aca="false">IF($E9="",0,IF(AND(COLUMN()-1&gt;=MAX($E9,1),COLUMN()-1&lt;$E9+$F9*12),$G9,0))</f>
        <v>416.666666666667</v>
      </c>
      <c r="I35" s="22" t="n">
        <f aca="false">IF($E9="",0,IF(AND(COLUMN()-1&gt;=MAX($E9,1),COLUMN()-1&lt;$E9+$F9*12),$G9,0))</f>
        <v>416.666666666667</v>
      </c>
      <c r="J35" s="22" t="n">
        <f aca="false">IF($E9="",0,IF(AND(COLUMN()-1&gt;=MAX($E9,1),COLUMN()-1&lt;$E9+$F9*12),$G9,0))</f>
        <v>416.666666666667</v>
      </c>
      <c r="K35" s="22" t="n">
        <f aca="false">IF($E9="",0,IF(AND(COLUMN()-1&gt;=MAX($E9,1),COLUMN()-1&lt;$E9+$F9*12),$G9,0))</f>
        <v>416.666666666667</v>
      </c>
      <c r="L35" s="22" t="n">
        <f aca="false">IF($E9="",0,IF(AND(COLUMN()-1&gt;=MAX($E9,1),COLUMN()-1&lt;$E9+$F9*12),$G9,0))</f>
        <v>416.666666666667</v>
      </c>
      <c r="M35" s="22" t="n">
        <f aca="false">IF($E9="",0,IF(AND(COLUMN()-1&gt;=MAX($E9,1),COLUMN()-1&lt;$E9+$F9*12),$G9,0))</f>
        <v>416.666666666667</v>
      </c>
      <c r="N35" s="22" t="n">
        <f aca="false">IF($E9="",0,IF(AND(COLUMN()-1&gt;=MAX($E9,1),COLUMN()-1&lt;$E9+$F9*12),$G9,0))</f>
        <v>416.666666666667</v>
      </c>
      <c r="O35" s="22" t="n">
        <f aca="false">IF($E9="",0,IF(AND(COLUMN()-1&gt;=MAX($E9,1),COLUMN()-1&lt;$E9+$F9*12),$G9,0))</f>
        <v>416.666666666667</v>
      </c>
      <c r="P35" s="22" t="n">
        <f aca="false">IF($E9="",0,IF(AND(COLUMN()-1&gt;=MAX($E9,1),COLUMN()-1&lt;$E9+$F9*12),$G9,0))</f>
        <v>416.666666666667</v>
      </c>
      <c r="Q35" s="22" t="n">
        <f aca="false">IF($E9="",0,IF(AND(COLUMN()-1&gt;=MAX($E9,1),COLUMN()-1&lt;$E9+$F9*12),$G9,0))</f>
        <v>416.666666666667</v>
      </c>
      <c r="R35" s="22" t="n">
        <f aca="false">IF($E9="",0,IF(AND(COLUMN()-1&gt;=MAX($E9,1),COLUMN()-1&lt;$E9+$F9*12),$G9,0))</f>
        <v>416.666666666667</v>
      </c>
      <c r="S35" s="22" t="n">
        <f aca="false">IF($E9="",0,IF(AND(COLUMN()-1&gt;=MAX($E9,1),COLUMN()-1&lt;$E9+$F9*12),$G9,0))</f>
        <v>416.666666666667</v>
      </c>
      <c r="T35" s="22" t="n">
        <f aca="false">IF($E9="",0,IF(AND(COLUMN()-1&gt;=MAX($E9,1),COLUMN()-1&lt;$E9+$F9*12),$G9,0))</f>
        <v>416.666666666667</v>
      </c>
      <c r="U35" s="22" t="n">
        <f aca="false">IF($E9="",0,IF(AND(COLUMN()-1&gt;=MAX($E9,1),COLUMN()-1&lt;$E9+$F9*12),$G9,0))</f>
        <v>416.666666666667</v>
      </c>
      <c r="V35" s="22" t="n">
        <f aca="false">IF($E9="",0,IF(AND(COLUMN()-1&gt;=MAX($E9,1),COLUMN()-1&lt;$E9+$F9*12),$G9,0))</f>
        <v>416.666666666667</v>
      </c>
      <c r="W35" s="22" t="n">
        <f aca="false">IF($E9="",0,IF(AND(COLUMN()-1&gt;=MAX($E9,1),COLUMN()-1&lt;$E9+$F9*12),$G9,0))</f>
        <v>416.666666666667</v>
      </c>
      <c r="X35" s="22" t="n">
        <f aca="false">IF($E9="",0,IF(AND(COLUMN()-1&gt;=MAX($E9,1),COLUMN()-1&lt;$E9+$F9*12),$G9,0))</f>
        <v>416.666666666667</v>
      </c>
      <c r="Y35" s="22" t="n">
        <f aca="false">IF($E9="",0,IF(AND(COLUMN()-1&gt;=MAX($E9,1),COLUMN()-1&lt;$E9+$F9*12),$G9,0))</f>
        <v>416.666666666667</v>
      </c>
      <c r="Z35" s="22" t="n">
        <f aca="false">IF($E9="",0,IF(AND(COLUMN()-1&gt;=MAX($E9,1),COLUMN()-1&lt;$E9+$F9*12),$G9,0))</f>
        <v>416.666666666667</v>
      </c>
      <c r="AA35" s="22" t="n">
        <f aca="false">IF($E9="",0,IF(AND(COLUMN()-1&gt;=MAX($E9,1),COLUMN()-1&lt;$E9+$F9*12),$G9,0))</f>
        <v>416.666666666667</v>
      </c>
      <c r="AB35" s="22" t="n">
        <f aca="false">IF($E9="",0,IF(AND(COLUMN()-1&gt;=MAX($E9,1),COLUMN()-1&lt;$E9+$F9*12),$G9,0))</f>
        <v>416.666666666667</v>
      </c>
      <c r="AC35" s="22" t="n">
        <f aca="false">IF($E9="",0,IF(AND(COLUMN()-1&gt;=MAX($E9,1),COLUMN()-1&lt;$E9+$F9*12),$G9,0))</f>
        <v>416.666666666667</v>
      </c>
      <c r="AD35" s="22" t="n">
        <f aca="false">IF($E9="",0,IF(AND(COLUMN()-1&gt;=MAX($E9,1),COLUMN()-1&lt;$E9+$F9*12),$G9,0))</f>
        <v>416.666666666667</v>
      </c>
      <c r="AE35" s="22" t="n">
        <f aca="false">IF($E9="",0,IF(AND(COLUMN()-1&gt;=MAX($E9,1),COLUMN()-1&lt;$E9+$F9*12),$G9,0))</f>
        <v>416.666666666667</v>
      </c>
      <c r="AF35" s="22" t="n">
        <f aca="false">IF($E9="",0,IF(AND(COLUMN()-1&gt;=MAX($E9,1),COLUMN()-1&lt;$E9+$F9*12),$G9,0))</f>
        <v>416.666666666667</v>
      </c>
      <c r="AG35" s="22" t="n">
        <f aca="false">IF($E9="",0,IF(AND(COLUMN()-1&gt;=MAX($E9,1),COLUMN()-1&lt;$E9+$F9*12),$G9,0))</f>
        <v>416.666666666667</v>
      </c>
      <c r="AH35" s="22" t="n">
        <f aca="false">IF($E9="",0,IF(AND(COLUMN()-1&gt;=MAX($E9,1),COLUMN()-1&lt;$E9+$F9*12),$G9,0))</f>
        <v>416.666666666667</v>
      </c>
      <c r="AI35" s="22" t="n">
        <f aca="false">IF($E9="",0,IF(AND(COLUMN()-1&gt;=MAX($E9,1),COLUMN()-1&lt;$E9+$F9*12),$G9,0))</f>
        <v>416.666666666667</v>
      </c>
      <c r="AJ35" s="22" t="n">
        <f aca="false">IF($E9="",0,IF(AND(COLUMN()-1&gt;=MAX($E9,1),COLUMN()-1&lt;$E9+$F9*12),$G9,0))</f>
        <v>416.666666666667</v>
      </c>
      <c r="AK35" s="22" t="n">
        <f aca="false">IF($E9="",0,IF(AND(COLUMN()-1&gt;=MAX($E9,1),COLUMN()-1&lt;$E9+$F9*12),$G9,0))</f>
        <v>416.666666666667</v>
      </c>
    </row>
    <row r="36" customFormat="false" ht="15" hidden="false" customHeight="false" outlineLevel="0" collapsed="false">
      <c r="A36" s="2" t="str">
        <f aca="false">A10</f>
        <v>Radiofrequency skin-tightening device</v>
      </c>
      <c r="B36" s="22" t="n">
        <f aca="false">IF($E10="",0,IF(AND(COLUMN()-1&gt;=MAX($E10,1),COLUMN()-1&lt;$E10+$F10*12),$G10,0))</f>
        <v>476.190476190476</v>
      </c>
      <c r="C36" s="22" t="n">
        <f aca="false">IF($E10="",0,IF(AND(COLUMN()-1&gt;=MAX($E10,1),COLUMN()-1&lt;$E10+$F10*12),$G10,0))</f>
        <v>476.190476190476</v>
      </c>
      <c r="D36" s="22" t="n">
        <f aca="false">IF($E10="",0,IF(AND(COLUMN()-1&gt;=MAX($E10,1),COLUMN()-1&lt;$E10+$F10*12),$G10,0))</f>
        <v>476.190476190476</v>
      </c>
      <c r="E36" s="22" t="n">
        <f aca="false">IF($E10="",0,IF(AND(COLUMN()-1&gt;=MAX($E10,1),COLUMN()-1&lt;$E10+$F10*12),$G10,0))</f>
        <v>476.190476190476</v>
      </c>
      <c r="F36" s="22" t="n">
        <f aca="false">IF($E10="",0,IF(AND(COLUMN()-1&gt;=MAX($E10,1),COLUMN()-1&lt;$E10+$F10*12),$G10,0))</f>
        <v>476.190476190476</v>
      </c>
      <c r="G36" s="22" t="n">
        <f aca="false">IF($E10="",0,IF(AND(COLUMN()-1&gt;=MAX($E10,1),COLUMN()-1&lt;$E10+$F10*12),$G10,0))</f>
        <v>476.190476190476</v>
      </c>
      <c r="H36" s="22" t="n">
        <f aca="false">IF($E10="",0,IF(AND(COLUMN()-1&gt;=MAX($E10,1),COLUMN()-1&lt;$E10+$F10*12),$G10,0))</f>
        <v>476.190476190476</v>
      </c>
      <c r="I36" s="22" t="n">
        <f aca="false">IF($E10="",0,IF(AND(COLUMN()-1&gt;=MAX($E10,1),COLUMN()-1&lt;$E10+$F10*12),$G10,0))</f>
        <v>476.190476190476</v>
      </c>
      <c r="J36" s="22" t="n">
        <f aca="false">IF($E10="",0,IF(AND(COLUMN()-1&gt;=MAX($E10,1),COLUMN()-1&lt;$E10+$F10*12),$G10,0))</f>
        <v>476.190476190476</v>
      </c>
      <c r="K36" s="22" t="n">
        <f aca="false">IF($E10="",0,IF(AND(COLUMN()-1&gt;=MAX($E10,1),COLUMN()-1&lt;$E10+$F10*12),$G10,0))</f>
        <v>476.190476190476</v>
      </c>
      <c r="L36" s="22" t="n">
        <f aca="false">IF($E10="",0,IF(AND(COLUMN()-1&gt;=MAX($E10,1),COLUMN()-1&lt;$E10+$F10*12),$G10,0))</f>
        <v>476.190476190476</v>
      </c>
      <c r="M36" s="22" t="n">
        <f aca="false">IF($E10="",0,IF(AND(COLUMN()-1&gt;=MAX($E10,1),COLUMN()-1&lt;$E10+$F10*12),$G10,0))</f>
        <v>476.190476190476</v>
      </c>
      <c r="N36" s="22" t="n">
        <f aca="false">IF($E10="",0,IF(AND(COLUMN()-1&gt;=MAX($E10,1),COLUMN()-1&lt;$E10+$F10*12),$G10,0))</f>
        <v>476.190476190476</v>
      </c>
      <c r="O36" s="22" t="n">
        <f aca="false">IF($E10="",0,IF(AND(COLUMN()-1&gt;=MAX($E10,1),COLUMN()-1&lt;$E10+$F10*12),$G10,0))</f>
        <v>476.190476190476</v>
      </c>
      <c r="P36" s="22" t="n">
        <f aca="false">IF($E10="",0,IF(AND(COLUMN()-1&gt;=MAX($E10,1),COLUMN()-1&lt;$E10+$F10*12),$G10,0))</f>
        <v>476.190476190476</v>
      </c>
      <c r="Q36" s="22" t="n">
        <f aca="false">IF($E10="",0,IF(AND(COLUMN()-1&gt;=MAX($E10,1),COLUMN()-1&lt;$E10+$F10*12),$G10,0))</f>
        <v>476.190476190476</v>
      </c>
      <c r="R36" s="22" t="n">
        <f aca="false">IF($E10="",0,IF(AND(COLUMN()-1&gt;=MAX($E10,1),COLUMN()-1&lt;$E10+$F10*12),$G10,0))</f>
        <v>476.190476190476</v>
      </c>
      <c r="S36" s="22" t="n">
        <f aca="false">IF($E10="",0,IF(AND(COLUMN()-1&gt;=MAX($E10,1),COLUMN()-1&lt;$E10+$F10*12),$G10,0))</f>
        <v>476.190476190476</v>
      </c>
      <c r="T36" s="22" t="n">
        <f aca="false">IF($E10="",0,IF(AND(COLUMN()-1&gt;=MAX($E10,1),COLUMN()-1&lt;$E10+$F10*12),$G10,0))</f>
        <v>476.190476190476</v>
      </c>
      <c r="U36" s="22" t="n">
        <f aca="false">IF($E10="",0,IF(AND(COLUMN()-1&gt;=MAX($E10,1),COLUMN()-1&lt;$E10+$F10*12),$G10,0))</f>
        <v>476.190476190476</v>
      </c>
      <c r="V36" s="22" t="n">
        <f aca="false">IF($E10="",0,IF(AND(COLUMN()-1&gt;=MAX($E10,1),COLUMN()-1&lt;$E10+$F10*12),$G10,0))</f>
        <v>476.190476190476</v>
      </c>
      <c r="W36" s="22" t="n">
        <f aca="false">IF($E10="",0,IF(AND(COLUMN()-1&gt;=MAX($E10,1),COLUMN()-1&lt;$E10+$F10*12),$G10,0))</f>
        <v>476.190476190476</v>
      </c>
      <c r="X36" s="22" t="n">
        <f aca="false">IF($E10="",0,IF(AND(COLUMN()-1&gt;=MAX($E10,1),COLUMN()-1&lt;$E10+$F10*12),$G10,0))</f>
        <v>476.190476190476</v>
      </c>
      <c r="Y36" s="22" t="n">
        <f aca="false">IF($E10="",0,IF(AND(COLUMN()-1&gt;=MAX($E10,1),COLUMN()-1&lt;$E10+$F10*12),$G10,0))</f>
        <v>476.190476190476</v>
      </c>
      <c r="Z36" s="22" t="n">
        <f aca="false">IF($E10="",0,IF(AND(COLUMN()-1&gt;=MAX($E10,1),COLUMN()-1&lt;$E10+$F10*12),$G10,0))</f>
        <v>476.190476190476</v>
      </c>
      <c r="AA36" s="22" t="n">
        <f aca="false">IF($E10="",0,IF(AND(COLUMN()-1&gt;=MAX($E10,1),COLUMN()-1&lt;$E10+$F10*12),$G10,0))</f>
        <v>476.190476190476</v>
      </c>
      <c r="AB36" s="22" t="n">
        <f aca="false">IF($E10="",0,IF(AND(COLUMN()-1&gt;=MAX($E10,1),COLUMN()-1&lt;$E10+$F10*12),$G10,0))</f>
        <v>476.190476190476</v>
      </c>
      <c r="AC36" s="22" t="n">
        <f aca="false">IF($E10="",0,IF(AND(COLUMN()-1&gt;=MAX($E10,1),COLUMN()-1&lt;$E10+$F10*12),$G10,0))</f>
        <v>476.190476190476</v>
      </c>
      <c r="AD36" s="22" t="n">
        <f aca="false">IF($E10="",0,IF(AND(COLUMN()-1&gt;=MAX($E10,1),COLUMN()-1&lt;$E10+$F10*12),$G10,0))</f>
        <v>476.190476190476</v>
      </c>
      <c r="AE36" s="22" t="n">
        <f aca="false">IF($E10="",0,IF(AND(COLUMN()-1&gt;=MAX($E10,1),COLUMN()-1&lt;$E10+$F10*12),$G10,0))</f>
        <v>476.190476190476</v>
      </c>
      <c r="AF36" s="22" t="n">
        <f aca="false">IF($E10="",0,IF(AND(COLUMN()-1&gt;=MAX($E10,1),COLUMN()-1&lt;$E10+$F10*12),$G10,0))</f>
        <v>476.190476190476</v>
      </c>
      <c r="AG36" s="22" t="n">
        <f aca="false">IF($E10="",0,IF(AND(COLUMN()-1&gt;=MAX($E10,1),COLUMN()-1&lt;$E10+$F10*12),$G10,0))</f>
        <v>476.190476190476</v>
      </c>
      <c r="AH36" s="22" t="n">
        <f aca="false">IF($E10="",0,IF(AND(COLUMN()-1&gt;=MAX($E10,1),COLUMN()-1&lt;$E10+$F10*12),$G10,0))</f>
        <v>476.190476190476</v>
      </c>
      <c r="AI36" s="22" t="n">
        <f aca="false">IF($E10="",0,IF(AND(COLUMN()-1&gt;=MAX($E10,1),COLUMN()-1&lt;$E10+$F10*12),$G10,0))</f>
        <v>476.190476190476</v>
      </c>
      <c r="AJ36" s="22" t="n">
        <f aca="false">IF($E10="",0,IF(AND(COLUMN()-1&gt;=MAX($E10,1),COLUMN()-1&lt;$E10+$F10*12),$G10,0))</f>
        <v>476.190476190476</v>
      </c>
      <c r="AK36" s="22" t="n">
        <f aca="false">IF($E10="",0,IF(AND(COLUMN()-1&gt;=MAX($E10,1),COLUMN()-1&lt;$E10+$F10*12),$G10,0))</f>
        <v>476.190476190476</v>
      </c>
    </row>
    <row r="37" customFormat="false" ht="15" hidden="false" customHeight="false" outlineLevel="0" collapsed="false">
      <c r="A37" s="2" t="str">
        <f aca="false">A11</f>
        <v>HydraFacial-style vortex facial platform</v>
      </c>
      <c r="B37" s="22" t="n">
        <f aca="false">IF($E11="",0,IF(AND(COLUMN()-1&gt;=MAX($E11,1),COLUMN()-1&lt;$E11+$F11*12),$G11,0))</f>
        <v>347.222222222222</v>
      </c>
      <c r="C37" s="22" t="n">
        <f aca="false">IF($E11="",0,IF(AND(COLUMN()-1&gt;=MAX($E11,1),COLUMN()-1&lt;$E11+$F11*12),$G11,0))</f>
        <v>347.222222222222</v>
      </c>
      <c r="D37" s="22" t="n">
        <f aca="false">IF($E11="",0,IF(AND(COLUMN()-1&gt;=MAX($E11,1),COLUMN()-1&lt;$E11+$F11*12),$G11,0))</f>
        <v>347.222222222222</v>
      </c>
      <c r="E37" s="22" t="n">
        <f aca="false">IF($E11="",0,IF(AND(COLUMN()-1&gt;=MAX($E11,1),COLUMN()-1&lt;$E11+$F11*12),$G11,0))</f>
        <v>347.222222222222</v>
      </c>
      <c r="F37" s="22" t="n">
        <f aca="false">IF($E11="",0,IF(AND(COLUMN()-1&gt;=MAX($E11,1),COLUMN()-1&lt;$E11+$F11*12),$G11,0))</f>
        <v>347.222222222222</v>
      </c>
      <c r="G37" s="22" t="n">
        <f aca="false">IF($E11="",0,IF(AND(COLUMN()-1&gt;=MAX($E11,1),COLUMN()-1&lt;$E11+$F11*12),$G11,0))</f>
        <v>347.222222222222</v>
      </c>
      <c r="H37" s="22" t="n">
        <f aca="false">IF($E11="",0,IF(AND(COLUMN()-1&gt;=MAX($E11,1),COLUMN()-1&lt;$E11+$F11*12),$G11,0))</f>
        <v>347.222222222222</v>
      </c>
      <c r="I37" s="22" t="n">
        <f aca="false">IF($E11="",0,IF(AND(COLUMN()-1&gt;=MAX($E11,1),COLUMN()-1&lt;$E11+$F11*12),$G11,0))</f>
        <v>347.222222222222</v>
      </c>
      <c r="J37" s="22" t="n">
        <f aca="false">IF($E11="",0,IF(AND(COLUMN()-1&gt;=MAX($E11,1),COLUMN()-1&lt;$E11+$F11*12),$G11,0))</f>
        <v>347.222222222222</v>
      </c>
      <c r="K37" s="22" t="n">
        <f aca="false">IF($E11="",0,IF(AND(COLUMN()-1&gt;=MAX($E11,1),COLUMN()-1&lt;$E11+$F11*12),$G11,0))</f>
        <v>347.222222222222</v>
      </c>
      <c r="L37" s="22" t="n">
        <f aca="false">IF($E11="",0,IF(AND(COLUMN()-1&gt;=MAX($E11,1),COLUMN()-1&lt;$E11+$F11*12),$G11,0))</f>
        <v>347.222222222222</v>
      </c>
      <c r="M37" s="22" t="n">
        <f aca="false">IF($E11="",0,IF(AND(COLUMN()-1&gt;=MAX($E11,1),COLUMN()-1&lt;$E11+$F11*12),$G11,0))</f>
        <v>347.222222222222</v>
      </c>
      <c r="N37" s="22" t="n">
        <f aca="false">IF($E11="",0,IF(AND(COLUMN()-1&gt;=MAX($E11,1),COLUMN()-1&lt;$E11+$F11*12),$G11,0))</f>
        <v>347.222222222222</v>
      </c>
      <c r="O37" s="22" t="n">
        <f aca="false">IF($E11="",0,IF(AND(COLUMN()-1&gt;=MAX($E11,1),COLUMN()-1&lt;$E11+$F11*12),$G11,0))</f>
        <v>347.222222222222</v>
      </c>
      <c r="P37" s="22" t="n">
        <f aca="false">IF($E11="",0,IF(AND(COLUMN()-1&gt;=MAX($E11,1),COLUMN()-1&lt;$E11+$F11*12),$G11,0))</f>
        <v>347.222222222222</v>
      </c>
      <c r="Q37" s="22" t="n">
        <f aca="false">IF($E11="",0,IF(AND(COLUMN()-1&gt;=MAX($E11,1),COLUMN()-1&lt;$E11+$F11*12),$G11,0))</f>
        <v>347.222222222222</v>
      </c>
      <c r="R37" s="22" t="n">
        <f aca="false">IF($E11="",0,IF(AND(COLUMN()-1&gt;=MAX($E11,1),COLUMN()-1&lt;$E11+$F11*12),$G11,0))</f>
        <v>347.222222222222</v>
      </c>
      <c r="S37" s="22" t="n">
        <f aca="false">IF($E11="",0,IF(AND(COLUMN()-1&gt;=MAX($E11,1),COLUMN()-1&lt;$E11+$F11*12),$G11,0))</f>
        <v>347.222222222222</v>
      </c>
      <c r="T37" s="22" t="n">
        <f aca="false">IF($E11="",0,IF(AND(COLUMN()-1&gt;=MAX($E11,1),COLUMN()-1&lt;$E11+$F11*12),$G11,0))</f>
        <v>347.222222222222</v>
      </c>
      <c r="U37" s="22" t="n">
        <f aca="false">IF($E11="",0,IF(AND(COLUMN()-1&gt;=MAX($E11,1),COLUMN()-1&lt;$E11+$F11*12),$G11,0))</f>
        <v>347.222222222222</v>
      </c>
      <c r="V37" s="22" t="n">
        <f aca="false">IF($E11="",0,IF(AND(COLUMN()-1&gt;=MAX($E11,1),COLUMN()-1&lt;$E11+$F11*12),$G11,0))</f>
        <v>347.222222222222</v>
      </c>
      <c r="W37" s="22" t="n">
        <f aca="false">IF($E11="",0,IF(AND(COLUMN()-1&gt;=MAX($E11,1),COLUMN()-1&lt;$E11+$F11*12),$G11,0))</f>
        <v>347.222222222222</v>
      </c>
      <c r="X37" s="22" t="n">
        <f aca="false">IF($E11="",0,IF(AND(COLUMN()-1&gt;=MAX($E11,1),COLUMN()-1&lt;$E11+$F11*12),$G11,0))</f>
        <v>347.222222222222</v>
      </c>
      <c r="Y37" s="22" t="n">
        <f aca="false">IF($E11="",0,IF(AND(COLUMN()-1&gt;=MAX($E11,1),COLUMN()-1&lt;$E11+$F11*12),$G11,0))</f>
        <v>347.222222222222</v>
      </c>
      <c r="Z37" s="22" t="n">
        <f aca="false">IF($E11="",0,IF(AND(COLUMN()-1&gt;=MAX($E11,1),COLUMN()-1&lt;$E11+$F11*12),$G11,0))</f>
        <v>347.222222222222</v>
      </c>
      <c r="AA37" s="22" t="n">
        <f aca="false">IF($E11="",0,IF(AND(COLUMN()-1&gt;=MAX($E11,1),COLUMN()-1&lt;$E11+$F11*12),$G11,0))</f>
        <v>347.222222222222</v>
      </c>
      <c r="AB37" s="22" t="n">
        <f aca="false">IF($E11="",0,IF(AND(COLUMN()-1&gt;=MAX($E11,1),COLUMN()-1&lt;$E11+$F11*12),$G11,0))</f>
        <v>347.222222222222</v>
      </c>
      <c r="AC37" s="22" t="n">
        <f aca="false">IF($E11="",0,IF(AND(COLUMN()-1&gt;=MAX($E11,1),COLUMN()-1&lt;$E11+$F11*12),$G11,0))</f>
        <v>347.222222222222</v>
      </c>
      <c r="AD37" s="22" t="n">
        <f aca="false">IF($E11="",0,IF(AND(COLUMN()-1&gt;=MAX($E11,1),COLUMN()-1&lt;$E11+$F11*12),$G11,0))</f>
        <v>347.222222222222</v>
      </c>
      <c r="AE37" s="22" t="n">
        <f aca="false">IF($E11="",0,IF(AND(COLUMN()-1&gt;=MAX($E11,1),COLUMN()-1&lt;$E11+$F11*12),$G11,0))</f>
        <v>347.222222222222</v>
      </c>
      <c r="AF37" s="22" t="n">
        <f aca="false">IF($E11="",0,IF(AND(COLUMN()-1&gt;=MAX($E11,1),COLUMN()-1&lt;$E11+$F11*12),$G11,0))</f>
        <v>347.222222222222</v>
      </c>
      <c r="AG37" s="22" t="n">
        <f aca="false">IF($E11="",0,IF(AND(COLUMN()-1&gt;=MAX($E11,1),COLUMN()-1&lt;$E11+$F11*12),$G11,0))</f>
        <v>347.222222222222</v>
      </c>
      <c r="AH37" s="22" t="n">
        <f aca="false">IF($E11="",0,IF(AND(COLUMN()-1&gt;=MAX($E11,1),COLUMN()-1&lt;$E11+$F11*12),$G11,0))</f>
        <v>347.222222222222</v>
      </c>
      <c r="AI37" s="22" t="n">
        <f aca="false">IF($E11="",0,IF(AND(COLUMN()-1&gt;=MAX($E11,1),COLUMN()-1&lt;$E11+$F11*12),$G11,0))</f>
        <v>347.222222222222</v>
      </c>
      <c r="AJ37" s="22" t="n">
        <f aca="false">IF($E11="",0,IF(AND(COLUMN()-1&gt;=MAX($E11,1),COLUMN()-1&lt;$E11+$F11*12),$G11,0))</f>
        <v>347.222222222222</v>
      </c>
      <c r="AK37" s="22" t="n">
        <f aca="false">IF($E11="",0,IF(AND(COLUMN()-1&gt;=MAX($E11,1),COLUMN()-1&lt;$E11+$F11*12),$G11,0))</f>
        <v>347.222222222222</v>
      </c>
    </row>
    <row r="38" customFormat="false" ht="15" hidden="false" customHeight="false" outlineLevel="0" collapsed="false">
      <c r="A38" s="2" t="str">
        <f aca="false">A12</f>
        <v>Endosphere compressive micro-vibration + anti-cellulite vacuum body platform</v>
      </c>
      <c r="B38" s="22" t="n">
        <f aca="false">IF($E12="",0,IF(AND(COLUMN()-1&gt;=MAX($E12,1),COLUMN()-1&lt;$E12+$F12*12),$G12,0))</f>
        <v>321.428571428571</v>
      </c>
      <c r="C38" s="22" t="n">
        <f aca="false">IF($E12="",0,IF(AND(COLUMN()-1&gt;=MAX($E12,1),COLUMN()-1&lt;$E12+$F12*12),$G12,0))</f>
        <v>321.428571428571</v>
      </c>
      <c r="D38" s="22" t="n">
        <f aca="false">IF($E12="",0,IF(AND(COLUMN()-1&gt;=MAX($E12,1),COLUMN()-1&lt;$E12+$F12*12),$G12,0))</f>
        <v>321.428571428571</v>
      </c>
      <c r="E38" s="22" t="n">
        <f aca="false">IF($E12="",0,IF(AND(COLUMN()-1&gt;=MAX($E12,1),COLUMN()-1&lt;$E12+$F12*12),$G12,0))</f>
        <v>321.428571428571</v>
      </c>
      <c r="F38" s="22" t="n">
        <f aca="false">IF($E12="",0,IF(AND(COLUMN()-1&gt;=MAX($E12,1),COLUMN()-1&lt;$E12+$F12*12),$G12,0))</f>
        <v>321.428571428571</v>
      </c>
      <c r="G38" s="22" t="n">
        <f aca="false">IF($E12="",0,IF(AND(COLUMN()-1&gt;=MAX($E12,1),COLUMN()-1&lt;$E12+$F12*12),$G12,0))</f>
        <v>321.428571428571</v>
      </c>
      <c r="H38" s="22" t="n">
        <f aca="false">IF($E12="",0,IF(AND(COLUMN()-1&gt;=MAX($E12,1),COLUMN()-1&lt;$E12+$F12*12),$G12,0))</f>
        <v>321.428571428571</v>
      </c>
      <c r="I38" s="22" t="n">
        <f aca="false">IF($E12="",0,IF(AND(COLUMN()-1&gt;=MAX($E12,1),COLUMN()-1&lt;$E12+$F12*12),$G12,0))</f>
        <v>321.428571428571</v>
      </c>
      <c r="J38" s="22" t="n">
        <f aca="false">IF($E12="",0,IF(AND(COLUMN()-1&gt;=MAX($E12,1),COLUMN()-1&lt;$E12+$F12*12),$G12,0))</f>
        <v>321.428571428571</v>
      </c>
      <c r="K38" s="22" t="n">
        <f aca="false">IF($E12="",0,IF(AND(COLUMN()-1&gt;=MAX($E12,1),COLUMN()-1&lt;$E12+$F12*12),$G12,0))</f>
        <v>321.428571428571</v>
      </c>
      <c r="L38" s="22" t="n">
        <f aca="false">IF($E12="",0,IF(AND(COLUMN()-1&gt;=MAX($E12,1),COLUMN()-1&lt;$E12+$F12*12),$G12,0))</f>
        <v>321.428571428571</v>
      </c>
      <c r="M38" s="22" t="n">
        <f aca="false">IF($E12="",0,IF(AND(COLUMN()-1&gt;=MAX($E12,1),COLUMN()-1&lt;$E12+$F12*12),$G12,0))</f>
        <v>321.428571428571</v>
      </c>
      <c r="N38" s="22" t="n">
        <f aca="false">IF($E12="",0,IF(AND(COLUMN()-1&gt;=MAX($E12,1),COLUMN()-1&lt;$E12+$F12*12),$G12,0))</f>
        <v>321.428571428571</v>
      </c>
      <c r="O38" s="22" t="n">
        <f aca="false">IF($E12="",0,IF(AND(COLUMN()-1&gt;=MAX($E12,1),COLUMN()-1&lt;$E12+$F12*12),$G12,0))</f>
        <v>321.428571428571</v>
      </c>
      <c r="P38" s="22" t="n">
        <f aca="false">IF($E12="",0,IF(AND(COLUMN()-1&gt;=MAX($E12,1),COLUMN()-1&lt;$E12+$F12*12),$G12,0))</f>
        <v>321.428571428571</v>
      </c>
      <c r="Q38" s="22" t="n">
        <f aca="false">IF($E12="",0,IF(AND(COLUMN()-1&gt;=MAX($E12,1),COLUMN()-1&lt;$E12+$F12*12),$G12,0))</f>
        <v>321.428571428571</v>
      </c>
      <c r="R38" s="22" t="n">
        <f aca="false">IF($E12="",0,IF(AND(COLUMN()-1&gt;=MAX($E12,1),COLUMN()-1&lt;$E12+$F12*12),$G12,0))</f>
        <v>321.428571428571</v>
      </c>
      <c r="S38" s="22" t="n">
        <f aca="false">IF($E12="",0,IF(AND(COLUMN()-1&gt;=MAX($E12,1),COLUMN()-1&lt;$E12+$F12*12),$G12,0))</f>
        <v>321.428571428571</v>
      </c>
      <c r="T38" s="22" t="n">
        <f aca="false">IF($E12="",0,IF(AND(COLUMN()-1&gt;=MAX($E12,1),COLUMN()-1&lt;$E12+$F12*12),$G12,0))</f>
        <v>321.428571428571</v>
      </c>
      <c r="U38" s="22" t="n">
        <f aca="false">IF($E12="",0,IF(AND(COLUMN()-1&gt;=MAX($E12,1),COLUMN()-1&lt;$E12+$F12*12),$G12,0))</f>
        <v>321.428571428571</v>
      </c>
      <c r="V38" s="22" t="n">
        <f aca="false">IF($E12="",0,IF(AND(COLUMN()-1&gt;=MAX($E12,1),COLUMN()-1&lt;$E12+$F12*12),$G12,0))</f>
        <v>321.428571428571</v>
      </c>
      <c r="W38" s="22" t="n">
        <f aca="false">IF($E12="",0,IF(AND(COLUMN()-1&gt;=MAX($E12,1),COLUMN()-1&lt;$E12+$F12*12),$G12,0))</f>
        <v>321.428571428571</v>
      </c>
      <c r="X38" s="22" t="n">
        <f aca="false">IF($E12="",0,IF(AND(COLUMN()-1&gt;=MAX($E12,1),COLUMN()-1&lt;$E12+$F12*12),$G12,0))</f>
        <v>321.428571428571</v>
      </c>
      <c r="Y38" s="22" t="n">
        <f aca="false">IF($E12="",0,IF(AND(COLUMN()-1&gt;=MAX($E12,1),COLUMN()-1&lt;$E12+$F12*12),$G12,0))</f>
        <v>321.428571428571</v>
      </c>
      <c r="Z38" s="22" t="n">
        <f aca="false">IF($E12="",0,IF(AND(COLUMN()-1&gt;=MAX($E12,1),COLUMN()-1&lt;$E12+$F12*12),$G12,0))</f>
        <v>321.428571428571</v>
      </c>
      <c r="AA38" s="22" t="n">
        <f aca="false">IF($E12="",0,IF(AND(COLUMN()-1&gt;=MAX($E12,1),COLUMN()-1&lt;$E12+$F12*12),$G12,0))</f>
        <v>321.428571428571</v>
      </c>
      <c r="AB38" s="22" t="n">
        <f aca="false">IF($E12="",0,IF(AND(COLUMN()-1&gt;=MAX($E12,1),COLUMN()-1&lt;$E12+$F12*12),$G12,0))</f>
        <v>321.428571428571</v>
      </c>
      <c r="AC38" s="22" t="n">
        <f aca="false">IF($E12="",0,IF(AND(COLUMN()-1&gt;=MAX($E12,1),COLUMN()-1&lt;$E12+$F12*12),$G12,0))</f>
        <v>321.428571428571</v>
      </c>
      <c r="AD38" s="22" t="n">
        <f aca="false">IF($E12="",0,IF(AND(COLUMN()-1&gt;=MAX($E12,1),COLUMN()-1&lt;$E12+$F12*12),$G12,0))</f>
        <v>321.428571428571</v>
      </c>
      <c r="AE38" s="22" t="n">
        <f aca="false">IF($E12="",0,IF(AND(COLUMN()-1&gt;=MAX($E12,1),COLUMN()-1&lt;$E12+$F12*12),$G12,0))</f>
        <v>321.428571428571</v>
      </c>
      <c r="AF38" s="22" t="n">
        <f aca="false">IF($E12="",0,IF(AND(COLUMN()-1&gt;=MAX($E12,1),COLUMN()-1&lt;$E12+$F12*12),$G12,0))</f>
        <v>321.428571428571</v>
      </c>
      <c r="AG38" s="22" t="n">
        <f aca="false">IF($E12="",0,IF(AND(COLUMN()-1&gt;=MAX($E12,1),COLUMN()-1&lt;$E12+$F12*12),$G12,0))</f>
        <v>321.428571428571</v>
      </c>
      <c r="AH38" s="22" t="n">
        <f aca="false">IF($E12="",0,IF(AND(COLUMN()-1&gt;=MAX($E12,1),COLUMN()-1&lt;$E12+$F12*12),$G12,0))</f>
        <v>321.428571428571</v>
      </c>
      <c r="AI38" s="22" t="n">
        <f aca="false">IF($E12="",0,IF(AND(COLUMN()-1&gt;=MAX($E12,1),COLUMN()-1&lt;$E12+$F12*12),$G12,0))</f>
        <v>321.428571428571</v>
      </c>
      <c r="AJ38" s="22" t="n">
        <f aca="false">IF($E12="",0,IF(AND(COLUMN()-1&gt;=MAX($E12,1),COLUMN()-1&lt;$E12+$F12*12),$G12,0))</f>
        <v>321.428571428571</v>
      </c>
      <c r="AK38" s="22" t="n">
        <f aca="false">IF($E12="",0,IF(AND(COLUMN()-1&gt;=MAX($E12,1),COLUMN()-1&lt;$E12+$F12*12),$G12,0))</f>
        <v>321.428571428571</v>
      </c>
    </row>
    <row r="39" customFormat="false" ht="15" hidden="false" customHeight="false" outlineLevel="0" collapsed="false">
      <c r="A39" s="2" t="str">
        <f aca="false">A13</f>
        <v>Microneedling pen (+ BB Glow micro-channelling)</v>
      </c>
      <c r="B39" s="22" t="n">
        <f aca="false">IF($E13="",0,IF(AND(COLUMN()-1&gt;=MAX($E13,1),COLUMN()-1&lt;$E13+$F13*12),$G13,0))</f>
        <v>62.5</v>
      </c>
      <c r="C39" s="22" t="n">
        <f aca="false">IF($E13="",0,IF(AND(COLUMN()-1&gt;=MAX($E13,1),COLUMN()-1&lt;$E13+$F13*12),$G13,0))</f>
        <v>62.5</v>
      </c>
      <c r="D39" s="22" t="n">
        <f aca="false">IF($E13="",0,IF(AND(COLUMN()-1&gt;=MAX($E13,1),COLUMN()-1&lt;$E13+$F13*12),$G13,0))</f>
        <v>62.5</v>
      </c>
      <c r="E39" s="22" t="n">
        <f aca="false">IF($E13="",0,IF(AND(COLUMN()-1&gt;=MAX($E13,1),COLUMN()-1&lt;$E13+$F13*12),$G13,0))</f>
        <v>62.5</v>
      </c>
      <c r="F39" s="22" t="n">
        <f aca="false">IF($E13="",0,IF(AND(COLUMN()-1&gt;=MAX($E13,1),COLUMN()-1&lt;$E13+$F13*12),$G13,0))</f>
        <v>62.5</v>
      </c>
      <c r="G39" s="22" t="n">
        <f aca="false">IF($E13="",0,IF(AND(COLUMN()-1&gt;=MAX($E13,1),COLUMN()-1&lt;$E13+$F13*12),$G13,0))</f>
        <v>62.5</v>
      </c>
      <c r="H39" s="22" t="n">
        <f aca="false">IF($E13="",0,IF(AND(COLUMN()-1&gt;=MAX($E13,1),COLUMN()-1&lt;$E13+$F13*12),$G13,0))</f>
        <v>62.5</v>
      </c>
      <c r="I39" s="22" t="n">
        <f aca="false">IF($E13="",0,IF(AND(COLUMN()-1&gt;=MAX($E13,1),COLUMN()-1&lt;$E13+$F13*12),$G13,0))</f>
        <v>62.5</v>
      </c>
      <c r="J39" s="22" t="n">
        <f aca="false">IF($E13="",0,IF(AND(COLUMN()-1&gt;=MAX($E13,1),COLUMN()-1&lt;$E13+$F13*12),$G13,0))</f>
        <v>62.5</v>
      </c>
      <c r="K39" s="22" t="n">
        <f aca="false">IF($E13="",0,IF(AND(COLUMN()-1&gt;=MAX($E13,1),COLUMN()-1&lt;$E13+$F13*12),$G13,0))</f>
        <v>62.5</v>
      </c>
      <c r="L39" s="22" t="n">
        <f aca="false">IF($E13="",0,IF(AND(COLUMN()-1&gt;=MAX($E13,1),COLUMN()-1&lt;$E13+$F13*12),$G13,0))</f>
        <v>62.5</v>
      </c>
      <c r="M39" s="22" t="n">
        <f aca="false">IF($E13="",0,IF(AND(COLUMN()-1&gt;=MAX($E13,1),COLUMN()-1&lt;$E13+$F13*12),$G13,0))</f>
        <v>62.5</v>
      </c>
      <c r="N39" s="22" t="n">
        <f aca="false">IF($E13="",0,IF(AND(COLUMN()-1&gt;=MAX($E13,1),COLUMN()-1&lt;$E13+$F13*12),$G13,0))</f>
        <v>62.5</v>
      </c>
      <c r="O39" s="22" t="n">
        <f aca="false">IF($E13="",0,IF(AND(COLUMN()-1&gt;=MAX($E13,1),COLUMN()-1&lt;$E13+$F13*12),$G13,0))</f>
        <v>62.5</v>
      </c>
      <c r="P39" s="22" t="n">
        <f aca="false">IF($E13="",0,IF(AND(COLUMN()-1&gt;=MAX($E13,1),COLUMN()-1&lt;$E13+$F13*12),$G13,0))</f>
        <v>62.5</v>
      </c>
      <c r="Q39" s="22" t="n">
        <f aca="false">IF($E13="",0,IF(AND(COLUMN()-1&gt;=MAX($E13,1),COLUMN()-1&lt;$E13+$F13*12),$G13,0))</f>
        <v>62.5</v>
      </c>
      <c r="R39" s="22" t="n">
        <f aca="false">IF($E13="",0,IF(AND(COLUMN()-1&gt;=MAX($E13,1),COLUMN()-1&lt;$E13+$F13*12),$G13,0))</f>
        <v>62.5</v>
      </c>
      <c r="S39" s="22" t="n">
        <f aca="false">IF($E13="",0,IF(AND(COLUMN()-1&gt;=MAX($E13,1),COLUMN()-1&lt;$E13+$F13*12),$G13,0))</f>
        <v>62.5</v>
      </c>
      <c r="T39" s="22" t="n">
        <f aca="false">IF($E13="",0,IF(AND(COLUMN()-1&gt;=MAX($E13,1),COLUMN()-1&lt;$E13+$F13*12),$G13,0))</f>
        <v>62.5</v>
      </c>
      <c r="U39" s="22" t="n">
        <f aca="false">IF($E13="",0,IF(AND(COLUMN()-1&gt;=MAX($E13,1),COLUMN()-1&lt;$E13+$F13*12),$G13,0))</f>
        <v>62.5</v>
      </c>
      <c r="V39" s="22" t="n">
        <f aca="false">IF($E13="",0,IF(AND(COLUMN()-1&gt;=MAX($E13,1),COLUMN()-1&lt;$E13+$F13*12),$G13,0))</f>
        <v>62.5</v>
      </c>
      <c r="W39" s="22" t="n">
        <f aca="false">IF($E13="",0,IF(AND(COLUMN()-1&gt;=MAX($E13,1),COLUMN()-1&lt;$E13+$F13*12),$G13,0))</f>
        <v>62.5</v>
      </c>
      <c r="X39" s="22" t="n">
        <f aca="false">IF($E13="",0,IF(AND(COLUMN()-1&gt;=MAX($E13,1),COLUMN()-1&lt;$E13+$F13*12),$G13,0))</f>
        <v>62.5</v>
      </c>
      <c r="Y39" s="22" t="n">
        <f aca="false">IF($E13="",0,IF(AND(COLUMN()-1&gt;=MAX($E13,1),COLUMN()-1&lt;$E13+$F13*12),$G13,0))</f>
        <v>62.5</v>
      </c>
      <c r="Z39" s="22" t="n">
        <f aca="false">IF($E13="",0,IF(AND(COLUMN()-1&gt;=MAX($E13,1),COLUMN()-1&lt;$E13+$F13*12),$G13,0))</f>
        <v>62.5</v>
      </c>
      <c r="AA39" s="22" t="n">
        <f aca="false">IF($E13="",0,IF(AND(COLUMN()-1&gt;=MAX($E13,1),COLUMN()-1&lt;$E13+$F13*12),$G13,0))</f>
        <v>62.5</v>
      </c>
      <c r="AB39" s="22" t="n">
        <f aca="false">IF($E13="",0,IF(AND(COLUMN()-1&gt;=MAX($E13,1),COLUMN()-1&lt;$E13+$F13*12),$G13,0))</f>
        <v>62.5</v>
      </c>
      <c r="AC39" s="22" t="n">
        <f aca="false">IF($E13="",0,IF(AND(COLUMN()-1&gt;=MAX($E13,1),COLUMN()-1&lt;$E13+$F13*12),$G13,0))</f>
        <v>62.5</v>
      </c>
      <c r="AD39" s="22" t="n">
        <f aca="false">IF($E13="",0,IF(AND(COLUMN()-1&gt;=MAX($E13,1),COLUMN()-1&lt;$E13+$F13*12),$G13,0))</f>
        <v>62.5</v>
      </c>
      <c r="AE39" s="22" t="n">
        <f aca="false">IF($E13="",0,IF(AND(COLUMN()-1&gt;=MAX($E13,1),COLUMN()-1&lt;$E13+$F13*12),$G13,0))</f>
        <v>62.5</v>
      </c>
      <c r="AF39" s="22" t="n">
        <f aca="false">IF($E13="",0,IF(AND(COLUMN()-1&gt;=MAX($E13,1),COLUMN()-1&lt;$E13+$F13*12),$G13,0))</f>
        <v>62.5</v>
      </c>
      <c r="AG39" s="22" t="n">
        <f aca="false">IF($E13="",0,IF(AND(COLUMN()-1&gt;=MAX($E13,1),COLUMN()-1&lt;$E13+$F13*12),$G13,0))</f>
        <v>62.5</v>
      </c>
      <c r="AH39" s="22" t="n">
        <f aca="false">IF($E13="",0,IF(AND(COLUMN()-1&gt;=MAX($E13,1),COLUMN()-1&lt;$E13+$F13*12),$G13,0))</f>
        <v>62.5</v>
      </c>
      <c r="AI39" s="22" t="n">
        <f aca="false">IF($E13="",0,IF(AND(COLUMN()-1&gt;=MAX($E13,1),COLUMN()-1&lt;$E13+$F13*12),$G13,0))</f>
        <v>62.5</v>
      </c>
      <c r="AJ39" s="22" t="n">
        <f aca="false">IF($E13="",0,IF(AND(COLUMN()-1&gt;=MAX($E13,1),COLUMN()-1&lt;$E13+$F13*12),$G13,0))</f>
        <v>62.5</v>
      </c>
      <c r="AK39" s="22" t="n">
        <f aca="false">IF($E13="",0,IF(AND(COLUMN()-1&gt;=MAX($E13,1),COLUMN()-1&lt;$E13+$F13*12),$G13,0))</f>
        <v>62.5</v>
      </c>
    </row>
    <row r="40" customFormat="false" ht="15" hidden="false" customHeight="false" outlineLevel="0" collapsed="false">
      <c r="A40" s="2" t="str">
        <f aca="false">A14</f>
        <v>Microdermabrasion device (diamond-tip/crystal)</v>
      </c>
      <c r="B40" s="22" t="n">
        <f aca="false">IF($E14="",0,IF(AND(COLUMN()-1&gt;=MAX($E14,1),COLUMN()-1&lt;$E14+$F14*12),$G14,0))</f>
        <v>41.6666666666667</v>
      </c>
      <c r="C40" s="22" t="n">
        <f aca="false">IF($E14="",0,IF(AND(COLUMN()-1&gt;=MAX($E14,1),COLUMN()-1&lt;$E14+$F14*12),$G14,0))</f>
        <v>41.6666666666667</v>
      </c>
      <c r="D40" s="22" t="n">
        <f aca="false">IF($E14="",0,IF(AND(COLUMN()-1&gt;=MAX($E14,1),COLUMN()-1&lt;$E14+$F14*12),$G14,0))</f>
        <v>41.6666666666667</v>
      </c>
      <c r="E40" s="22" t="n">
        <f aca="false">IF($E14="",0,IF(AND(COLUMN()-1&gt;=MAX($E14,1),COLUMN()-1&lt;$E14+$F14*12),$G14,0))</f>
        <v>41.6666666666667</v>
      </c>
      <c r="F40" s="22" t="n">
        <f aca="false">IF($E14="",0,IF(AND(COLUMN()-1&gt;=MAX($E14,1),COLUMN()-1&lt;$E14+$F14*12),$G14,0))</f>
        <v>41.6666666666667</v>
      </c>
      <c r="G40" s="22" t="n">
        <f aca="false">IF($E14="",0,IF(AND(COLUMN()-1&gt;=MAX($E14,1),COLUMN()-1&lt;$E14+$F14*12),$G14,0))</f>
        <v>41.6666666666667</v>
      </c>
      <c r="H40" s="22" t="n">
        <f aca="false">IF($E14="",0,IF(AND(COLUMN()-1&gt;=MAX($E14,1),COLUMN()-1&lt;$E14+$F14*12),$G14,0))</f>
        <v>41.6666666666667</v>
      </c>
      <c r="I40" s="22" t="n">
        <f aca="false">IF($E14="",0,IF(AND(COLUMN()-1&gt;=MAX($E14,1),COLUMN()-1&lt;$E14+$F14*12),$G14,0))</f>
        <v>41.6666666666667</v>
      </c>
      <c r="J40" s="22" t="n">
        <f aca="false">IF($E14="",0,IF(AND(COLUMN()-1&gt;=MAX($E14,1),COLUMN()-1&lt;$E14+$F14*12),$G14,0))</f>
        <v>41.6666666666667</v>
      </c>
      <c r="K40" s="22" t="n">
        <f aca="false">IF($E14="",0,IF(AND(COLUMN()-1&gt;=MAX($E14,1),COLUMN()-1&lt;$E14+$F14*12),$G14,0))</f>
        <v>41.6666666666667</v>
      </c>
      <c r="L40" s="22" t="n">
        <f aca="false">IF($E14="",0,IF(AND(COLUMN()-1&gt;=MAX($E14,1),COLUMN()-1&lt;$E14+$F14*12),$G14,0))</f>
        <v>41.6666666666667</v>
      </c>
      <c r="M40" s="22" t="n">
        <f aca="false">IF($E14="",0,IF(AND(COLUMN()-1&gt;=MAX($E14,1),COLUMN()-1&lt;$E14+$F14*12),$G14,0))</f>
        <v>41.6666666666667</v>
      </c>
      <c r="N40" s="22" t="n">
        <f aca="false">IF($E14="",0,IF(AND(COLUMN()-1&gt;=MAX($E14,1),COLUMN()-1&lt;$E14+$F14*12),$G14,0))</f>
        <v>41.6666666666667</v>
      </c>
      <c r="O40" s="22" t="n">
        <f aca="false">IF($E14="",0,IF(AND(COLUMN()-1&gt;=MAX($E14,1),COLUMN()-1&lt;$E14+$F14*12),$G14,0))</f>
        <v>41.6666666666667</v>
      </c>
      <c r="P40" s="22" t="n">
        <f aca="false">IF($E14="",0,IF(AND(COLUMN()-1&gt;=MAX($E14,1),COLUMN()-1&lt;$E14+$F14*12),$G14,0))</f>
        <v>41.6666666666667</v>
      </c>
      <c r="Q40" s="22" t="n">
        <f aca="false">IF($E14="",0,IF(AND(COLUMN()-1&gt;=MAX($E14,1),COLUMN()-1&lt;$E14+$F14*12),$G14,0))</f>
        <v>41.6666666666667</v>
      </c>
      <c r="R40" s="22" t="n">
        <f aca="false">IF($E14="",0,IF(AND(COLUMN()-1&gt;=MAX($E14,1),COLUMN()-1&lt;$E14+$F14*12),$G14,0))</f>
        <v>41.6666666666667</v>
      </c>
      <c r="S40" s="22" t="n">
        <f aca="false">IF($E14="",0,IF(AND(COLUMN()-1&gt;=MAX($E14,1),COLUMN()-1&lt;$E14+$F14*12),$G14,0))</f>
        <v>41.6666666666667</v>
      </c>
      <c r="T40" s="22" t="n">
        <f aca="false">IF($E14="",0,IF(AND(COLUMN()-1&gt;=MAX($E14,1),COLUMN()-1&lt;$E14+$F14*12),$G14,0))</f>
        <v>41.6666666666667</v>
      </c>
      <c r="U40" s="22" t="n">
        <f aca="false">IF($E14="",0,IF(AND(COLUMN()-1&gt;=MAX($E14,1),COLUMN()-1&lt;$E14+$F14*12),$G14,0))</f>
        <v>41.6666666666667</v>
      </c>
      <c r="V40" s="22" t="n">
        <f aca="false">IF($E14="",0,IF(AND(COLUMN()-1&gt;=MAX($E14,1),COLUMN()-1&lt;$E14+$F14*12),$G14,0))</f>
        <v>41.6666666666667</v>
      </c>
      <c r="W40" s="22" t="n">
        <f aca="false">IF($E14="",0,IF(AND(COLUMN()-1&gt;=MAX($E14,1),COLUMN()-1&lt;$E14+$F14*12),$G14,0))</f>
        <v>41.6666666666667</v>
      </c>
      <c r="X40" s="22" t="n">
        <f aca="false">IF($E14="",0,IF(AND(COLUMN()-1&gt;=MAX($E14,1),COLUMN()-1&lt;$E14+$F14*12),$G14,0))</f>
        <v>41.6666666666667</v>
      </c>
      <c r="Y40" s="22" t="n">
        <f aca="false">IF($E14="",0,IF(AND(COLUMN()-1&gt;=MAX($E14,1),COLUMN()-1&lt;$E14+$F14*12),$G14,0))</f>
        <v>41.6666666666667</v>
      </c>
      <c r="Z40" s="22" t="n">
        <f aca="false">IF($E14="",0,IF(AND(COLUMN()-1&gt;=MAX($E14,1),COLUMN()-1&lt;$E14+$F14*12),$G14,0))</f>
        <v>41.6666666666667</v>
      </c>
      <c r="AA40" s="22" t="n">
        <f aca="false">IF($E14="",0,IF(AND(COLUMN()-1&gt;=MAX($E14,1),COLUMN()-1&lt;$E14+$F14*12),$G14,0))</f>
        <v>41.6666666666667</v>
      </c>
      <c r="AB40" s="22" t="n">
        <f aca="false">IF($E14="",0,IF(AND(COLUMN()-1&gt;=MAX($E14,1),COLUMN()-1&lt;$E14+$F14*12),$G14,0))</f>
        <v>41.6666666666667</v>
      </c>
      <c r="AC40" s="22" t="n">
        <f aca="false">IF($E14="",0,IF(AND(COLUMN()-1&gt;=MAX($E14,1),COLUMN()-1&lt;$E14+$F14*12),$G14,0))</f>
        <v>41.6666666666667</v>
      </c>
      <c r="AD40" s="22" t="n">
        <f aca="false">IF($E14="",0,IF(AND(COLUMN()-1&gt;=MAX($E14,1),COLUMN()-1&lt;$E14+$F14*12),$G14,0))</f>
        <v>41.6666666666667</v>
      </c>
      <c r="AE40" s="22" t="n">
        <f aca="false">IF($E14="",0,IF(AND(COLUMN()-1&gt;=MAX($E14,1),COLUMN()-1&lt;$E14+$F14*12),$G14,0))</f>
        <v>41.6666666666667</v>
      </c>
      <c r="AF40" s="22" t="n">
        <f aca="false">IF($E14="",0,IF(AND(COLUMN()-1&gt;=MAX($E14,1),COLUMN()-1&lt;$E14+$F14*12),$G14,0))</f>
        <v>41.6666666666667</v>
      </c>
      <c r="AG40" s="22" t="n">
        <f aca="false">IF($E14="",0,IF(AND(COLUMN()-1&gt;=MAX($E14,1),COLUMN()-1&lt;$E14+$F14*12),$G14,0))</f>
        <v>41.6666666666667</v>
      </c>
      <c r="AH40" s="22" t="n">
        <f aca="false">IF($E14="",0,IF(AND(COLUMN()-1&gt;=MAX($E14,1),COLUMN()-1&lt;$E14+$F14*12),$G14,0))</f>
        <v>41.6666666666667</v>
      </c>
      <c r="AI40" s="22" t="n">
        <f aca="false">IF($E14="",0,IF(AND(COLUMN()-1&gt;=MAX($E14,1),COLUMN()-1&lt;$E14+$F14*12),$G14,0))</f>
        <v>41.6666666666667</v>
      </c>
      <c r="AJ40" s="22" t="n">
        <f aca="false">IF($E14="",0,IF(AND(COLUMN()-1&gt;=MAX($E14,1),COLUMN()-1&lt;$E14+$F14*12),$G14,0))</f>
        <v>41.6666666666667</v>
      </c>
      <c r="AK40" s="22" t="n">
        <f aca="false">IF($E14="",0,IF(AND(COLUMN()-1&gt;=MAX($E14,1),COLUMN()-1&lt;$E14+$F14*12),$G14,0))</f>
        <v>41.6666666666667</v>
      </c>
    </row>
    <row r="41" customFormat="false" ht="15" hidden="false" customHeight="false" outlineLevel="0" collapsed="false">
      <c r="A41" s="2" t="str">
        <f aca="false">A15</f>
        <v>Microcurrent facial toning device + LED panel</v>
      </c>
      <c r="B41" s="22" t="n">
        <f aca="false">IF($E15="",0,IF(AND(COLUMN()-1&gt;=MAX($E15,1),COLUMN()-1&lt;$E15+$F15*12),$G15,0))</f>
        <v>156.25</v>
      </c>
      <c r="C41" s="22" t="n">
        <f aca="false">IF($E15="",0,IF(AND(COLUMN()-1&gt;=MAX($E15,1),COLUMN()-1&lt;$E15+$F15*12),$G15,0))</f>
        <v>156.25</v>
      </c>
      <c r="D41" s="22" t="n">
        <f aca="false">IF($E15="",0,IF(AND(COLUMN()-1&gt;=MAX($E15,1),COLUMN()-1&lt;$E15+$F15*12),$G15,0))</f>
        <v>156.25</v>
      </c>
      <c r="E41" s="22" t="n">
        <f aca="false">IF($E15="",0,IF(AND(COLUMN()-1&gt;=MAX($E15,1),COLUMN()-1&lt;$E15+$F15*12),$G15,0))</f>
        <v>156.25</v>
      </c>
      <c r="F41" s="22" t="n">
        <f aca="false">IF($E15="",0,IF(AND(COLUMN()-1&gt;=MAX($E15,1),COLUMN()-1&lt;$E15+$F15*12),$G15,0))</f>
        <v>156.25</v>
      </c>
      <c r="G41" s="22" t="n">
        <f aca="false">IF($E15="",0,IF(AND(COLUMN()-1&gt;=MAX($E15,1),COLUMN()-1&lt;$E15+$F15*12),$G15,0))</f>
        <v>156.25</v>
      </c>
      <c r="H41" s="22" t="n">
        <f aca="false">IF($E15="",0,IF(AND(COLUMN()-1&gt;=MAX($E15,1),COLUMN()-1&lt;$E15+$F15*12),$G15,0))</f>
        <v>156.25</v>
      </c>
      <c r="I41" s="22" t="n">
        <f aca="false">IF($E15="",0,IF(AND(COLUMN()-1&gt;=MAX($E15,1),COLUMN()-1&lt;$E15+$F15*12),$G15,0))</f>
        <v>156.25</v>
      </c>
      <c r="J41" s="22" t="n">
        <f aca="false">IF($E15="",0,IF(AND(COLUMN()-1&gt;=MAX($E15,1),COLUMN()-1&lt;$E15+$F15*12),$G15,0))</f>
        <v>156.25</v>
      </c>
      <c r="K41" s="22" t="n">
        <f aca="false">IF($E15="",0,IF(AND(COLUMN()-1&gt;=MAX($E15,1),COLUMN()-1&lt;$E15+$F15*12),$G15,0))</f>
        <v>156.25</v>
      </c>
      <c r="L41" s="22" t="n">
        <f aca="false">IF($E15="",0,IF(AND(COLUMN()-1&gt;=MAX($E15,1),COLUMN()-1&lt;$E15+$F15*12),$G15,0))</f>
        <v>156.25</v>
      </c>
      <c r="M41" s="22" t="n">
        <f aca="false">IF($E15="",0,IF(AND(COLUMN()-1&gt;=MAX($E15,1),COLUMN()-1&lt;$E15+$F15*12),$G15,0))</f>
        <v>156.25</v>
      </c>
      <c r="N41" s="22" t="n">
        <f aca="false">IF($E15="",0,IF(AND(COLUMN()-1&gt;=MAX($E15,1),COLUMN()-1&lt;$E15+$F15*12),$G15,0))</f>
        <v>156.25</v>
      </c>
      <c r="O41" s="22" t="n">
        <f aca="false">IF($E15="",0,IF(AND(COLUMN()-1&gt;=MAX($E15,1),COLUMN()-1&lt;$E15+$F15*12),$G15,0))</f>
        <v>156.25</v>
      </c>
      <c r="P41" s="22" t="n">
        <f aca="false">IF($E15="",0,IF(AND(COLUMN()-1&gt;=MAX($E15,1),COLUMN()-1&lt;$E15+$F15*12),$G15,0))</f>
        <v>156.25</v>
      </c>
      <c r="Q41" s="22" t="n">
        <f aca="false">IF($E15="",0,IF(AND(COLUMN()-1&gt;=MAX($E15,1),COLUMN()-1&lt;$E15+$F15*12),$G15,0))</f>
        <v>156.25</v>
      </c>
      <c r="R41" s="22" t="n">
        <f aca="false">IF($E15="",0,IF(AND(COLUMN()-1&gt;=MAX($E15,1),COLUMN()-1&lt;$E15+$F15*12),$G15,0))</f>
        <v>156.25</v>
      </c>
      <c r="S41" s="22" t="n">
        <f aca="false">IF($E15="",0,IF(AND(COLUMN()-1&gt;=MAX($E15,1),COLUMN()-1&lt;$E15+$F15*12),$G15,0))</f>
        <v>156.25</v>
      </c>
      <c r="T41" s="22" t="n">
        <f aca="false">IF($E15="",0,IF(AND(COLUMN()-1&gt;=MAX($E15,1),COLUMN()-1&lt;$E15+$F15*12),$G15,0))</f>
        <v>156.25</v>
      </c>
      <c r="U41" s="22" t="n">
        <f aca="false">IF($E15="",0,IF(AND(COLUMN()-1&gt;=MAX($E15,1),COLUMN()-1&lt;$E15+$F15*12),$G15,0))</f>
        <v>156.25</v>
      </c>
      <c r="V41" s="22" t="n">
        <f aca="false">IF($E15="",0,IF(AND(COLUMN()-1&gt;=MAX($E15,1),COLUMN()-1&lt;$E15+$F15*12),$G15,0))</f>
        <v>156.25</v>
      </c>
      <c r="W41" s="22" t="n">
        <f aca="false">IF($E15="",0,IF(AND(COLUMN()-1&gt;=MAX($E15,1),COLUMN()-1&lt;$E15+$F15*12),$G15,0))</f>
        <v>156.25</v>
      </c>
      <c r="X41" s="22" t="n">
        <f aca="false">IF($E15="",0,IF(AND(COLUMN()-1&gt;=MAX($E15,1),COLUMN()-1&lt;$E15+$F15*12),$G15,0))</f>
        <v>156.25</v>
      </c>
      <c r="Y41" s="22" t="n">
        <f aca="false">IF($E15="",0,IF(AND(COLUMN()-1&gt;=MAX($E15,1),COLUMN()-1&lt;$E15+$F15*12),$G15,0))</f>
        <v>156.25</v>
      </c>
      <c r="Z41" s="22" t="n">
        <f aca="false">IF($E15="",0,IF(AND(COLUMN()-1&gt;=MAX($E15,1),COLUMN()-1&lt;$E15+$F15*12),$G15,0))</f>
        <v>156.25</v>
      </c>
      <c r="AA41" s="22" t="n">
        <f aca="false">IF($E15="",0,IF(AND(COLUMN()-1&gt;=MAX($E15,1),COLUMN()-1&lt;$E15+$F15*12),$G15,0))</f>
        <v>156.25</v>
      </c>
      <c r="AB41" s="22" t="n">
        <f aca="false">IF($E15="",0,IF(AND(COLUMN()-1&gt;=MAX($E15,1),COLUMN()-1&lt;$E15+$F15*12),$G15,0))</f>
        <v>156.25</v>
      </c>
      <c r="AC41" s="22" t="n">
        <f aca="false">IF($E15="",0,IF(AND(COLUMN()-1&gt;=MAX($E15,1),COLUMN()-1&lt;$E15+$F15*12),$G15,0))</f>
        <v>156.25</v>
      </c>
      <c r="AD41" s="22" t="n">
        <f aca="false">IF($E15="",0,IF(AND(COLUMN()-1&gt;=MAX($E15,1),COLUMN()-1&lt;$E15+$F15*12),$G15,0))</f>
        <v>156.25</v>
      </c>
      <c r="AE41" s="22" t="n">
        <f aca="false">IF($E15="",0,IF(AND(COLUMN()-1&gt;=MAX($E15,1),COLUMN()-1&lt;$E15+$F15*12),$G15,0))</f>
        <v>156.25</v>
      </c>
      <c r="AF41" s="22" t="n">
        <f aca="false">IF($E15="",0,IF(AND(COLUMN()-1&gt;=MAX($E15,1),COLUMN()-1&lt;$E15+$F15*12),$G15,0))</f>
        <v>156.25</v>
      </c>
      <c r="AG41" s="22" t="n">
        <f aca="false">IF($E15="",0,IF(AND(COLUMN()-1&gt;=MAX($E15,1),COLUMN()-1&lt;$E15+$F15*12),$G15,0))</f>
        <v>156.25</v>
      </c>
      <c r="AH41" s="22" t="n">
        <f aca="false">IF($E15="",0,IF(AND(COLUMN()-1&gt;=MAX($E15,1),COLUMN()-1&lt;$E15+$F15*12),$G15,0))</f>
        <v>156.25</v>
      </c>
      <c r="AI41" s="22" t="n">
        <f aca="false">IF($E15="",0,IF(AND(COLUMN()-1&gt;=MAX($E15,1),COLUMN()-1&lt;$E15+$F15*12),$G15,0))</f>
        <v>156.25</v>
      </c>
      <c r="AJ41" s="22" t="n">
        <f aca="false">IF($E15="",0,IF(AND(COLUMN()-1&gt;=MAX($E15,1),COLUMN()-1&lt;$E15+$F15*12),$G15,0))</f>
        <v>156.25</v>
      </c>
      <c r="AK41" s="22" t="n">
        <f aca="false">IF($E15="",0,IF(AND(COLUMN()-1&gt;=MAX($E15,1),COLUMN()-1&lt;$E15+$F15*12),$G15,0))</f>
        <v>156.25</v>
      </c>
    </row>
    <row r="42" customFormat="false" ht="15" hidden="false" customHeight="false" outlineLevel="0" collapsed="false">
      <c r="A42" s="2" t="str">
        <f aca="false">A16</f>
        <v>Injectables room (no machine): electric couch + MHRA-compliant medical fridge + sharps/emergency kit</v>
      </c>
      <c r="B42" s="22" t="n">
        <f aca="false">IF($E16="",0,IF(AND(COLUMN()-1&gt;=MAX($E16,1),COLUMN()-1&lt;$E16+$F16*12),$G16,0))</f>
        <v>20.8333333333333</v>
      </c>
      <c r="C42" s="22" t="n">
        <f aca="false">IF($E16="",0,IF(AND(COLUMN()-1&gt;=MAX($E16,1),COLUMN()-1&lt;$E16+$F16*12),$G16,0))</f>
        <v>20.8333333333333</v>
      </c>
      <c r="D42" s="22" t="n">
        <f aca="false">IF($E16="",0,IF(AND(COLUMN()-1&gt;=MAX($E16,1),COLUMN()-1&lt;$E16+$F16*12),$G16,0))</f>
        <v>20.8333333333333</v>
      </c>
      <c r="E42" s="22" t="n">
        <f aca="false">IF($E16="",0,IF(AND(COLUMN()-1&gt;=MAX($E16,1),COLUMN()-1&lt;$E16+$F16*12),$G16,0))</f>
        <v>20.8333333333333</v>
      </c>
      <c r="F42" s="22" t="n">
        <f aca="false">IF($E16="",0,IF(AND(COLUMN()-1&gt;=MAX($E16,1),COLUMN()-1&lt;$E16+$F16*12),$G16,0))</f>
        <v>20.8333333333333</v>
      </c>
      <c r="G42" s="22" t="n">
        <f aca="false">IF($E16="",0,IF(AND(COLUMN()-1&gt;=MAX($E16,1),COLUMN()-1&lt;$E16+$F16*12),$G16,0))</f>
        <v>20.8333333333333</v>
      </c>
      <c r="H42" s="22" t="n">
        <f aca="false">IF($E16="",0,IF(AND(COLUMN()-1&gt;=MAX($E16,1),COLUMN()-1&lt;$E16+$F16*12),$G16,0))</f>
        <v>20.8333333333333</v>
      </c>
      <c r="I42" s="22" t="n">
        <f aca="false">IF($E16="",0,IF(AND(COLUMN()-1&gt;=MAX($E16,1),COLUMN()-1&lt;$E16+$F16*12),$G16,0))</f>
        <v>20.8333333333333</v>
      </c>
      <c r="J42" s="22" t="n">
        <f aca="false">IF($E16="",0,IF(AND(COLUMN()-1&gt;=MAX($E16,1),COLUMN()-1&lt;$E16+$F16*12),$G16,0))</f>
        <v>20.8333333333333</v>
      </c>
      <c r="K42" s="22" t="n">
        <f aca="false">IF($E16="",0,IF(AND(COLUMN()-1&gt;=MAX($E16,1),COLUMN()-1&lt;$E16+$F16*12),$G16,0))</f>
        <v>20.8333333333333</v>
      </c>
      <c r="L42" s="22" t="n">
        <f aca="false">IF($E16="",0,IF(AND(COLUMN()-1&gt;=MAX($E16,1),COLUMN()-1&lt;$E16+$F16*12),$G16,0))</f>
        <v>20.8333333333333</v>
      </c>
      <c r="M42" s="22" t="n">
        <f aca="false">IF($E16="",0,IF(AND(COLUMN()-1&gt;=MAX($E16,1),COLUMN()-1&lt;$E16+$F16*12),$G16,0))</f>
        <v>20.8333333333333</v>
      </c>
      <c r="N42" s="22" t="n">
        <f aca="false">IF($E16="",0,IF(AND(COLUMN()-1&gt;=MAX($E16,1),COLUMN()-1&lt;$E16+$F16*12),$G16,0))</f>
        <v>20.8333333333333</v>
      </c>
      <c r="O42" s="22" t="n">
        <f aca="false">IF($E16="",0,IF(AND(COLUMN()-1&gt;=MAX($E16,1),COLUMN()-1&lt;$E16+$F16*12),$G16,0))</f>
        <v>20.8333333333333</v>
      </c>
      <c r="P42" s="22" t="n">
        <f aca="false">IF($E16="",0,IF(AND(COLUMN()-1&gt;=MAX($E16,1),COLUMN()-1&lt;$E16+$F16*12),$G16,0))</f>
        <v>20.8333333333333</v>
      </c>
      <c r="Q42" s="22" t="n">
        <f aca="false">IF($E16="",0,IF(AND(COLUMN()-1&gt;=MAX($E16,1),COLUMN()-1&lt;$E16+$F16*12),$G16,0))</f>
        <v>20.8333333333333</v>
      </c>
      <c r="R42" s="22" t="n">
        <f aca="false">IF($E16="",0,IF(AND(COLUMN()-1&gt;=MAX($E16,1),COLUMN()-1&lt;$E16+$F16*12),$G16,0))</f>
        <v>20.8333333333333</v>
      </c>
      <c r="S42" s="22" t="n">
        <f aca="false">IF($E16="",0,IF(AND(COLUMN()-1&gt;=MAX($E16,1),COLUMN()-1&lt;$E16+$F16*12),$G16,0))</f>
        <v>20.8333333333333</v>
      </c>
      <c r="T42" s="22" t="n">
        <f aca="false">IF($E16="",0,IF(AND(COLUMN()-1&gt;=MAX($E16,1),COLUMN()-1&lt;$E16+$F16*12),$G16,0))</f>
        <v>20.8333333333333</v>
      </c>
      <c r="U42" s="22" t="n">
        <f aca="false">IF($E16="",0,IF(AND(COLUMN()-1&gt;=MAX($E16,1),COLUMN()-1&lt;$E16+$F16*12),$G16,0))</f>
        <v>20.8333333333333</v>
      </c>
      <c r="V42" s="22" t="n">
        <f aca="false">IF($E16="",0,IF(AND(COLUMN()-1&gt;=MAX($E16,1),COLUMN()-1&lt;$E16+$F16*12),$G16,0))</f>
        <v>20.8333333333333</v>
      </c>
      <c r="W42" s="22" t="n">
        <f aca="false">IF($E16="",0,IF(AND(COLUMN()-1&gt;=MAX($E16,1),COLUMN()-1&lt;$E16+$F16*12),$G16,0))</f>
        <v>20.8333333333333</v>
      </c>
      <c r="X42" s="22" t="n">
        <f aca="false">IF($E16="",0,IF(AND(COLUMN()-1&gt;=MAX($E16,1),COLUMN()-1&lt;$E16+$F16*12),$G16,0))</f>
        <v>20.8333333333333</v>
      </c>
      <c r="Y42" s="22" t="n">
        <f aca="false">IF($E16="",0,IF(AND(COLUMN()-1&gt;=MAX($E16,1),COLUMN()-1&lt;$E16+$F16*12),$G16,0))</f>
        <v>20.8333333333333</v>
      </c>
      <c r="Z42" s="22" t="n">
        <f aca="false">IF($E16="",0,IF(AND(COLUMN()-1&gt;=MAX($E16,1),COLUMN()-1&lt;$E16+$F16*12),$G16,0))</f>
        <v>20.8333333333333</v>
      </c>
      <c r="AA42" s="22" t="n">
        <f aca="false">IF($E16="",0,IF(AND(COLUMN()-1&gt;=MAX($E16,1),COLUMN()-1&lt;$E16+$F16*12),$G16,0))</f>
        <v>20.8333333333333</v>
      </c>
      <c r="AB42" s="22" t="n">
        <f aca="false">IF($E16="",0,IF(AND(COLUMN()-1&gt;=MAX($E16,1),COLUMN()-1&lt;$E16+$F16*12),$G16,0))</f>
        <v>20.8333333333333</v>
      </c>
      <c r="AC42" s="22" t="n">
        <f aca="false">IF($E16="",0,IF(AND(COLUMN()-1&gt;=MAX($E16,1),COLUMN()-1&lt;$E16+$F16*12),$G16,0))</f>
        <v>20.8333333333333</v>
      </c>
      <c r="AD42" s="22" t="n">
        <f aca="false">IF($E16="",0,IF(AND(COLUMN()-1&gt;=MAX($E16,1),COLUMN()-1&lt;$E16+$F16*12),$G16,0))</f>
        <v>20.8333333333333</v>
      </c>
      <c r="AE42" s="22" t="n">
        <f aca="false">IF($E16="",0,IF(AND(COLUMN()-1&gt;=MAX($E16,1),COLUMN()-1&lt;$E16+$F16*12),$G16,0))</f>
        <v>20.8333333333333</v>
      </c>
      <c r="AF42" s="22" t="n">
        <f aca="false">IF($E16="",0,IF(AND(COLUMN()-1&gt;=MAX($E16,1),COLUMN()-1&lt;$E16+$F16*12),$G16,0))</f>
        <v>20.8333333333333</v>
      </c>
      <c r="AG42" s="22" t="n">
        <f aca="false">IF($E16="",0,IF(AND(COLUMN()-1&gt;=MAX($E16,1),COLUMN()-1&lt;$E16+$F16*12),$G16,0))</f>
        <v>20.8333333333333</v>
      </c>
      <c r="AH42" s="22" t="n">
        <f aca="false">IF($E16="",0,IF(AND(COLUMN()-1&gt;=MAX($E16,1),COLUMN()-1&lt;$E16+$F16*12),$G16,0))</f>
        <v>20.8333333333333</v>
      </c>
      <c r="AI42" s="22" t="n">
        <f aca="false">IF($E16="",0,IF(AND(COLUMN()-1&gt;=MAX($E16,1),COLUMN()-1&lt;$E16+$F16*12),$G16,0))</f>
        <v>20.8333333333333</v>
      </c>
      <c r="AJ42" s="22" t="n">
        <f aca="false">IF($E16="",0,IF(AND(COLUMN()-1&gt;=MAX($E16,1),COLUMN()-1&lt;$E16+$F16*12),$G16,0))</f>
        <v>20.8333333333333</v>
      </c>
      <c r="AK42" s="22" t="n">
        <f aca="false">IF($E16="",0,IF(AND(COLUMN()-1&gt;=MAX($E16,1),COLUMN()-1&lt;$E16+$F16*12),$G16,0))</f>
        <v>20.8333333333333</v>
      </c>
    </row>
    <row r="43" customFormat="false" ht="15" hidden="false" customHeight="false" outlineLevel="0" collapsed="false">
      <c r="A43" s="2" t="str">
        <f aca="false">A17</f>
        <v>Topical/manual treatment room kit (couch, trolley, steamer, hot cabinet)</v>
      </c>
      <c r="B43" s="22" t="n">
        <f aca="false">IF($E17="",0,IF(AND(COLUMN()-1&gt;=MAX($E17,1),COLUMN()-1&lt;$E17+$F17*12),$G17,0))</f>
        <v>13.8888888888889</v>
      </c>
      <c r="C43" s="22" t="n">
        <f aca="false">IF($E17="",0,IF(AND(COLUMN()-1&gt;=MAX($E17,1),COLUMN()-1&lt;$E17+$F17*12),$G17,0))</f>
        <v>13.8888888888889</v>
      </c>
      <c r="D43" s="22" t="n">
        <f aca="false">IF($E17="",0,IF(AND(COLUMN()-1&gt;=MAX($E17,1),COLUMN()-1&lt;$E17+$F17*12),$G17,0))</f>
        <v>13.8888888888889</v>
      </c>
      <c r="E43" s="22" t="n">
        <f aca="false">IF($E17="",0,IF(AND(COLUMN()-1&gt;=MAX($E17,1),COLUMN()-1&lt;$E17+$F17*12),$G17,0))</f>
        <v>13.8888888888889</v>
      </c>
      <c r="F43" s="22" t="n">
        <f aca="false">IF($E17="",0,IF(AND(COLUMN()-1&gt;=MAX($E17,1),COLUMN()-1&lt;$E17+$F17*12),$G17,0))</f>
        <v>13.8888888888889</v>
      </c>
      <c r="G43" s="22" t="n">
        <f aca="false">IF($E17="",0,IF(AND(COLUMN()-1&gt;=MAX($E17,1),COLUMN()-1&lt;$E17+$F17*12),$G17,0))</f>
        <v>13.8888888888889</v>
      </c>
      <c r="H43" s="22" t="n">
        <f aca="false">IF($E17="",0,IF(AND(COLUMN()-1&gt;=MAX($E17,1),COLUMN()-1&lt;$E17+$F17*12),$G17,0))</f>
        <v>13.8888888888889</v>
      </c>
      <c r="I43" s="22" t="n">
        <f aca="false">IF($E17="",0,IF(AND(COLUMN()-1&gt;=MAX($E17,1),COLUMN()-1&lt;$E17+$F17*12),$G17,0))</f>
        <v>13.8888888888889</v>
      </c>
      <c r="J43" s="22" t="n">
        <f aca="false">IF($E17="",0,IF(AND(COLUMN()-1&gt;=MAX($E17,1),COLUMN()-1&lt;$E17+$F17*12),$G17,0))</f>
        <v>13.8888888888889</v>
      </c>
      <c r="K43" s="22" t="n">
        <f aca="false">IF($E17="",0,IF(AND(COLUMN()-1&gt;=MAX($E17,1),COLUMN()-1&lt;$E17+$F17*12),$G17,0))</f>
        <v>13.8888888888889</v>
      </c>
      <c r="L43" s="22" t="n">
        <f aca="false">IF($E17="",0,IF(AND(COLUMN()-1&gt;=MAX($E17,1),COLUMN()-1&lt;$E17+$F17*12),$G17,0))</f>
        <v>13.8888888888889</v>
      </c>
      <c r="M43" s="22" t="n">
        <f aca="false">IF($E17="",0,IF(AND(COLUMN()-1&gt;=MAX($E17,1),COLUMN()-1&lt;$E17+$F17*12),$G17,0))</f>
        <v>13.8888888888889</v>
      </c>
      <c r="N43" s="22" t="n">
        <f aca="false">IF($E17="",0,IF(AND(COLUMN()-1&gt;=MAX($E17,1),COLUMN()-1&lt;$E17+$F17*12),$G17,0))</f>
        <v>13.8888888888889</v>
      </c>
      <c r="O43" s="22" t="n">
        <f aca="false">IF($E17="",0,IF(AND(COLUMN()-1&gt;=MAX($E17,1),COLUMN()-1&lt;$E17+$F17*12),$G17,0))</f>
        <v>13.8888888888889</v>
      </c>
      <c r="P43" s="22" t="n">
        <f aca="false">IF($E17="",0,IF(AND(COLUMN()-1&gt;=MAX($E17,1),COLUMN()-1&lt;$E17+$F17*12),$G17,0))</f>
        <v>13.8888888888889</v>
      </c>
      <c r="Q43" s="22" t="n">
        <f aca="false">IF($E17="",0,IF(AND(COLUMN()-1&gt;=MAX($E17,1),COLUMN()-1&lt;$E17+$F17*12),$G17,0))</f>
        <v>13.8888888888889</v>
      </c>
      <c r="R43" s="22" t="n">
        <f aca="false">IF($E17="",0,IF(AND(COLUMN()-1&gt;=MAX($E17,1),COLUMN()-1&lt;$E17+$F17*12),$G17,0))</f>
        <v>13.8888888888889</v>
      </c>
      <c r="S43" s="22" t="n">
        <f aca="false">IF($E17="",0,IF(AND(COLUMN()-1&gt;=MAX($E17,1),COLUMN()-1&lt;$E17+$F17*12),$G17,0))</f>
        <v>13.8888888888889</v>
      </c>
      <c r="T43" s="22" t="n">
        <f aca="false">IF($E17="",0,IF(AND(COLUMN()-1&gt;=MAX($E17,1),COLUMN()-1&lt;$E17+$F17*12),$G17,0))</f>
        <v>13.8888888888889</v>
      </c>
      <c r="U43" s="22" t="n">
        <f aca="false">IF($E17="",0,IF(AND(COLUMN()-1&gt;=MAX($E17,1),COLUMN()-1&lt;$E17+$F17*12),$G17,0))</f>
        <v>13.8888888888889</v>
      </c>
      <c r="V43" s="22" t="n">
        <f aca="false">IF($E17="",0,IF(AND(COLUMN()-1&gt;=MAX($E17,1),COLUMN()-1&lt;$E17+$F17*12),$G17,0))</f>
        <v>13.8888888888889</v>
      </c>
      <c r="W43" s="22" t="n">
        <f aca="false">IF($E17="",0,IF(AND(COLUMN()-1&gt;=MAX($E17,1),COLUMN()-1&lt;$E17+$F17*12),$G17,0))</f>
        <v>13.8888888888889</v>
      </c>
      <c r="X43" s="22" t="n">
        <f aca="false">IF($E17="",0,IF(AND(COLUMN()-1&gt;=MAX($E17,1),COLUMN()-1&lt;$E17+$F17*12),$G17,0))</f>
        <v>13.8888888888889</v>
      </c>
      <c r="Y43" s="22" t="n">
        <f aca="false">IF($E17="",0,IF(AND(COLUMN()-1&gt;=MAX($E17,1),COLUMN()-1&lt;$E17+$F17*12),$G17,0))</f>
        <v>13.8888888888889</v>
      </c>
      <c r="Z43" s="22" t="n">
        <f aca="false">IF($E17="",0,IF(AND(COLUMN()-1&gt;=MAX($E17,1),COLUMN()-1&lt;$E17+$F17*12),$G17,0))</f>
        <v>13.8888888888889</v>
      </c>
      <c r="AA43" s="22" t="n">
        <f aca="false">IF($E17="",0,IF(AND(COLUMN()-1&gt;=MAX($E17,1),COLUMN()-1&lt;$E17+$F17*12),$G17,0))</f>
        <v>13.8888888888889</v>
      </c>
      <c r="AB43" s="22" t="n">
        <f aca="false">IF($E17="",0,IF(AND(COLUMN()-1&gt;=MAX($E17,1),COLUMN()-1&lt;$E17+$F17*12),$G17,0))</f>
        <v>13.8888888888889</v>
      </c>
      <c r="AC43" s="22" t="n">
        <f aca="false">IF($E17="",0,IF(AND(COLUMN()-1&gt;=MAX($E17,1),COLUMN()-1&lt;$E17+$F17*12),$G17,0))</f>
        <v>13.8888888888889</v>
      </c>
      <c r="AD43" s="22" t="n">
        <f aca="false">IF($E17="",0,IF(AND(COLUMN()-1&gt;=MAX($E17,1),COLUMN()-1&lt;$E17+$F17*12),$G17,0))</f>
        <v>13.8888888888889</v>
      </c>
      <c r="AE43" s="22" t="n">
        <f aca="false">IF($E17="",0,IF(AND(COLUMN()-1&gt;=MAX($E17,1),COLUMN()-1&lt;$E17+$F17*12),$G17,0))</f>
        <v>13.8888888888889</v>
      </c>
      <c r="AF43" s="22" t="n">
        <f aca="false">IF($E17="",0,IF(AND(COLUMN()-1&gt;=MAX($E17,1),COLUMN()-1&lt;$E17+$F17*12),$G17,0))</f>
        <v>13.8888888888889</v>
      </c>
      <c r="AG43" s="22" t="n">
        <f aca="false">IF($E17="",0,IF(AND(COLUMN()-1&gt;=MAX($E17,1),COLUMN()-1&lt;$E17+$F17*12),$G17,0))</f>
        <v>13.8888888888889</v>
      </c>
      <c r="AH43" s="22" t="n">
        <f aca="false">IF($E17="",0,IF(AND(COLUMN()-1&gt;=MAX($E17,1),COLUMN()-1&lt;$E17+$F17*12),$G17,0))</f>
        <v>13.8888888888889</v>
      </c>
      <c r="AI43" s="22" t="n">
        <f aca="false">IF($E17="",0,IF(AND(COLUMN()-1&gt;=MAX($E17,1),COLUMN()-1&lt;$E17+$F17*12),$G17,0))</f>
        <v>13.8888888888889</v>
      </c>
      <c r="AJ43" s="22" t="n">
        <f aca="false">IF($E17="",0,IF(AND(COLUMN()-1&gt;=MAX($E17,1),COLUMN()-1&lt;$E17+$F17*12),$G17,0))</f>
        <v>13.8888888888889</v>
      </c>
      <c r="AK43" s="22" t="n">
        <f aca="false">IF($E17="",0,IF(AND(COLUMN()-1&gt;=MAX($E17,1),COLUMN()-1&lt;$E17+$F17*12),$G17,0))</f>
        <v>13.8888888888889</v>
      </c>
    </row>
    <row r="44" customFormat="false" ht="15" hidden="false" customHeight="false" outlineLevel="0" collapsed="false">
      <c r="A44" s="2" t="str">
        <f aca="false">A22</f>
        <v>Initial fit-out / leasehold improvements</v>
      </c>
      <c r="B44" s="22" t="n">
        <f aca="false">IF(OR($E22="",$F22=0),0,IF(AND(COLUMN()-1&gt;=MAX($E22,1),COLUMN()-1&lt;$E22+$F22*12),$G22,0))</f>
        <v>0</v>
      </c>
      <c r="C44" s="22" t="n">
        <f aca="false">IF(OR($E22="",$F22=0),0,IF(AND(COLUMN()-1&gt;=MAX($E22,1),COLUMN()-1&lt;$E22+$F22*12),$G22,0))</f>
        <v>0</v>
      </c>
      <c r="D44" s="22" t="n">
        <f aca="false">IF(OR($E22="",$F22=0),0,IF(AND(COLUMN()-1&gt;=MAX($E22,1),COLUMN()-1&lt;$E22+$F22*12),$G22,0))</f>
        <v>0</v>
      </c>
      <c r="E44" s="22" t="n">
        <f aca="false">IF(OR($E22="",$F22=0),0,IF(AND(COLUMN()-1&gt;=MAX($E22,1),COLUMN()-1&lt;$E22+$F22*12),$G22,0))</f>
        <v>0</v>
      </c>
      <c r="F44" s="22" t="n">
        <f aca="false">IF(OR($E22="",$F22=0),0,IF(AND(COLUMN()-1&gt;=MAX($E22,1),COLUMN()-1&lt;$E22+$F22*12),$G22,0))</f>
        <v>0</v>
      </c>
      <c r="G44" s="22" t="n">
        <f aca="false">IF(OR($E22="",$F22=0),0,IF(AND(COLUMN()-1&gt;=MAX($E22,1),COLUMN()-1&lt;$E22+$F22*12),$G22,0))</f>
        <v>0</v>
      </c>
      <c r="H44" s="22" t="n">
        <f aca="false">IF(OR($E22="",$F22=0),0,IF(AND(COLUMN()-1&gt;=MAX($E22,1),COLUMN()-1&lt;$E22+$F22*12),$G22,0))</f>
        <v>0</v>
      </c>
      <c r="I44" s="22" t="n">
        <f aca="false">IF(OR($E22="",$F22=0),0,IF(AND(COLUMN()-1&gt;=MAX($E22,1),COLUMN()-1&lt;$E22+$F22*12),$G22,0))</f>
        <v>0</v>
      </c>
      <c r="J44" s="22" t="n">
        <f aca="false">IF(OR($E22="",$F22=0),0,IF(AND(COLUMN()-1&gt;=MAX($E22,1),COLUMN()-1&lt;$E22+$F22*12),$G22,0))</f>
        <v>0</v>
      </c>
      <c r="K44" s="22" t="n">
        <f aca="false">IF(OR($E22="",$F22=0),0,IF(AND(COLUMN()-1&gt;=MAX($E22,1),COLUMN()-1&lt;$E22+$F22*12),$G22,0))</f>
        <v>0</v>
      </c>
      <c r="L44" s="22" t="n">
        <f aca="false">IF(OR($E22="",$F22=0),0,IF(AND(COLUMN()-1&gt;=MAX($E22,1),COLUMN()-1&lt;$E22+$F22*12),$G22,0))</f>
        <v>0</v>
      </c>
      <c r="M44" s="22" t="n">
        <f aca="false">IF(OR($E22="",$F22=0),0,IF(AND(COLUMN()-1&gt;=MAX($E22,1),COLUMN()-1&lt;$E22+$F22*12),$G22,0))</f>
        <v>0</v>
      </c>
      <c r="N44" s="22" t="n">
        <f aca="false">IF(OR($E22="",$F22=0),0,IF(AND(COLUMN()-1&gt;=MAX($E22,1),COLUMN()-1&lt;$E22+$F22*12),$G22,0))</f>
        <v>0</v>
      </c>
      <c r="O44" s="22" t="n">
        <f aca="false">IF(OR($E22="",$F22=0),0,IF(AND(COLUMN()-1&gt;=MAX($E22,1),COLUMN()-1&lt;$E22+$F22*12),$G22,0))</f>
        <v>0</v>
      </c>
      <c r="P44" s="22" t="n">
        <f aca="false">IF(OR($E22="",$F22=0),0,IF(AND(COLUMN()-1&gt;=MAX($E22,1),COLUMN()-1&lt;$E22+$F22*12),$G22,0))</f>
        <v>0</v>
      </c>
      <c r="Q44" s="22" t="n">
        <f aca="false">IF(OR($E22="",$F22=0),0,IF(AND(COLUMN()-1&gt;=MAX($E22,1),COLUMN()-1&lt;$E22+$F22*12),$G22,0))</f>
        <v>0</v>
      </c>
      <c r="R44" s="22" t="n">
        <f aca="false">IF(OR($E22="",$F22=0),0,IF(AND(COLUMN()-1&gt;=MAX($E22,1),COLUMN()-1&lt;$E22+$F22*12),$G22,0))</f>
        <v>0</v>
      </c>
      <c r="S44" s="22" t="n">
        <f aca="false">IF(OR($E22="",$F22=0),0,IF(AND(COLUMN()-1&gt;=MAX($E22,1),COLUMN()-1&lt;$E22+$F22*12),$G22,0))</f>
        <v>0</v>
      </c>
      <c r="T44" s="22" t="n">
        <f aca="false">IF(OR($E22="",$F22=0),0,IF(AND(COLUMN()-1&gt;=MAX($E22,1),COLUMN()-1&lt;$E22+$F22*12),$G22,0))</f>
        <v>0</v>
      </c>
      <c r="U44" s="22" t="n">
        <f aca="false">IF(OR($E22="",$F22=0),0,IF(AND(COLUMN()-1&gt;=MAX($E22,1),COLUMN()-1&lt;$E22+$F22*12),$G22,0))</f>
        <v>0</v>
      </c>
      <c r="V44" s="22" t="n">
        <f aca="false">IF(OR($E22="",$F22=0),0,IF(AND(COLUMN()-1&gt;=MAX($E22,1),COLUMN()-1&lt;$E22+$F22*12),$G22,0))</f>
        <v>0</v>
      </c>
      <c r="W44" s="22" t="n">
        <f aca="false">IF(OR($E22="",$F22=0),0,IF(AND(COLUMN()-1&gt;=MAX($E22,1),COLUMN()-1&lt;$E22+$F22*12),$G22,0))</f>
        <v>0</v>
      </c>
      <c r="X44" s="22" t="n">
        <f aca="false">IF(OR($E22="",$F22=0),0,IF(AND(COLUMN()-1&gt;=MAX($E22,1),COLUMN()-1&lt;$E22+$F22*12),$G22,0))</f>
        <v>0</v>
      </c>
      <c r="Y44" s="22" t="n">
        <f aca="false">IF(OR($E22="",$F22=0),0,IF(AND(COLUMN()-1&gt;=MAX($E22,1),COLUMN()-1&lt;$E22+$F22*12),$G22,0))</f>
        <v>0</v>
      </c>
      <c r="Z44" s="22" t="n">
        <f aca="false">IF(OR($E22="",$F22=0),0,IF(AND(COLUMN()-1&gt;=MAX($E22,1),COLUMN()-1&lt;$E22+$F22*12),$G22,0))</f>
        <v>0</v>
      </c>
      <c r="AA44" s="22" t="n">
        <f aca="false">IF(OR($E22="",$F22=0),0,IF(AND(COLUMN()-1&gt;=MAX($E22,1),COLUMN()-1&lt;$E22+$F22*12),$G22,0))</f>
        <v>0</v>
      </c>
      <c r="AB44" s="22" t="n">
        <f aca="false">IF(OR($E22="",$F22=0),0,IF(AND(COLUMN()-1&gt;=MAX($E22,1),COLUMN()-1&lt;$E22+$F22*12),$G22,0))</f>
        <v>0</v>
      </c>
      <c r="AC44" s="22" t="n">
        <f aca="false">IF(OR($E22="",$F22=0),0,IF(AND(COLUMN()-1&gt;=MAX($E22,1),COLUMN()-1&lt;$E22+$F22*12),$G22,0))</f>
        <v>0</v>
      </c>
      <c r="AD44" s="22" t="n">
        <f aca="false">IF(OR($E22="",$F22=0),0,IF(AND(COLUMN()-1&gt;=MAX($E22,1),COLUMN()-1&lt;$E22+$F22*12),$G22,0))</f>
        <v>0</v>
      </c>
      <c r="AE44" s="22" t="n">
        <f aca="false">IF(OR($E22="",$F22=0),0,IF(AND(COLUMN()-1&gt;=MAX($E22,1),COLUMN()-1&lt;$E22+$F22*12),$G22,0))</f>
        <v>0</v>
      </c>
      <c r="AF44" s="22" t="n">
        <f aca="false">IF(OR($E22="",$F22=0),0,IF(AND(COLUMN()-1&gt;=MAX($E22,1),COLUMN()-1&lt;$E22+$F22*12),$G22,0))</f>
        <v>0</v>
      </c>
      <c r="AG44" s="22" t="n">
        <f aca="false">IF(OR($E22="",$F22=0),0,IF(AND(COLUMN()-1&gt;=MAX($E22,1),COLUMN()-1&lt;$E22+$F22*12),$G22,0))</f>
        <v>0</v>
      </c>
      <c r="AH44" s="22" t="n">
        <f aca="false">IF(OR($E22="",$F22=0),0,IF(AND(COLUMN()-1&gt;=MAX($E22,1),COLUMN()-1&lt;$E22+$F22*12),$G22,0))</f>
        <v>0</v>
      </c>
      <c r="AI44" s="22" t="n">
        <f aca="false">IF(OR($E22="",$F22=0),0,IF(AND(COLUMN()-1&gt;=MAX($E22,1),COLUMN()-1&lt;$E22+$F22*12),$G22,0))</f>
        <v>0</v>
      </c>
      <c r="AJ44" s="22" t="n">
        <f aca="false">IF(OR($E22="",$F22=0),0,IF(AND(COLUMN()-1&gt;=MAX($E22,1),COLUMN()-1&lt;$E22+$F22*12),$G22,0))</f>
        <v>0</v>
      </c>
      <c r="AK44" s="22" t="n">
        <f aca="false">IF(OR($E22="",$F22=0),0,IF(AND(COLUMN()-1&gt;=MAX($E22,1),COLUMN()-1&lt;$E22+$F22*12),$G22,0))</f>
        <v>0</v>
      </c>
    </row>
    <row r="45" customFormat="false" ht="15" hidden="false" customHeight="false" outlineLevel="0" collapsed="false">
      <c r="A45" s="2" t="str">
        <f aca="false">A23</f>
        <v>EXAMPLE — reception refresh (edit or zero out)</v>
      </c>
      <c r="B45" s="22" t="n">
        <f aca="false">IF(OR($E23="",$F23=0),0,IF(AND(COLUMN()-1&gt;=MAX($E23,1),COLUMN()-1&lt;$E23+$F23*12),$G23,0))</f>
        <v>0</v>
      </c>
      <c r="C45" s="22" t="n">
        <f aca="false">IF(OR($E23="",$F23=0),0,IF(AND(COLUMN()-1&gt;=MAX($E23,1),COLUMN()-1&lt;$E23+$F23*12),$G23,0))</f>
        <v>0</v>
      </c>
      <c r="D45" s="22" t="n">
        <f aca="false">IF(OR($E23="",$F23=0),0,IF(AND(COLUMN()-1&gt;=MAX($E23,1),COLUMN()-1&lt;$E23+$F23*12),$G23,0))</f>
        <v>0</v>
      </c>
      <c r="E45" s="22" t="n">
        <f aca="false">IF(OR($E23="",$F23=0),0,IF(AND(COLUMN()-1&gt;=MAX($E23,1),COLUMN()-1&lt;$E23+$F23*12),$G23,0))</f>
        <v>0</v>
      </c>
      <c r="F45" s="22" t="n">
        <f aca="false">IF(OR($E23="",$F23=0),0,IF(AND(COLUMN()-1&gt;=MAX($E23,1),COLUMN()-1&lt;$E23+$F23*12),$G23,0))</f>
        <v>0</v>
      </c>
      <c r="G45" s="22" t="n">
        <f aca="false">IF(OR($E23="",$F23=0),0,IF(AND(COLUMN()-1&gt;=MAX($E23,1),COLUMN()-1&lt;$E23+$F23*12),$G23,0))</f>
        <v>133.333333333333</v>
      </c>
      <c r="H45" s="22" t="n">
        <f aca="false">IF(OR($E23="",$F23=0),0,IF(AND(COLUMN()-1&gt;=MAX($E23,1),COLUMN()-1&lt;$E23+$F23*12),$G23,0))</f>
        <v>133.333333333333</v>
      </c>
      <c r="I45" s="22" t="n">
        <f aca="false">IF(OR($E23="",$F23=0),0,IF(AND(COLUMN()-1&gt;=MAX($E23,1),COLUMN()-1&lt;$E23+$F23*12),$G23,0))</f>
        <v>133.333333333333</v>
      </c>
      <c r="J45" s="22" t="n">
        <f aca="false">IF(OR($E23="",$F23=0),0,IF(AND(COLUMN()-1&gt;=MAX($E23,1),COLUMN()-1&lt;$E23+$F23*12),$G23,0))</f>
        <v>133.333333333333</v>
      </c>
      <c r="K45" s="22" t="n">
        <f aca="false">IF(OR($E23="",$F23=0),0,IF(AND(COLUMN()-1&gt;=MAX($E23,1),COLUMN()-1&lt;$E23+$F23*12),$G23,0))</f>
        <v>133.333333333333</v>
      </c>
      <c r="L45" s="22" t="n">
        <f aca="false">IF(OR($E23="",$F23=0),0,IF(AND(COLUMN()-1&gt;=MAX($E23,1),COLUMN()-1&lt;$E23+$F23*12),$G23,0))</f>
        <v>133.333333333333</v>
      </c>
      <c r="M45" s="22" t="n">
        <f aca="false">IF(OR($E23="",$F23=0),0,IF(AND(COLUMN()-1&gt;=MAX($E23,1),COLUMN()-1&lt;$E23+$F23*12),$G23,0))</f>
        <v>133.333333333333</v>
      </c>
      <c r="N45" s="22" t="n">
        <f aca="false">IF(OR($E23="",$F23=0),0,IF(AND(COLUMN()-1&gt;=MAX($E23,1),COLUMN()-1&lt;$E23+$F23*12),$G23,0))</f>
        <v>133.333333333333</v>
      </c>
      <c r="O45" s="22" t="n">
        <f aca="false">IF(OR($E23="",$F23=0),0,IF(AND(COLUMN()-1&gt;=MAX($E23,1),COLUMN()-1&lt;$E23+$F23*12),$G23,0))</f>
        <v>133.333333333333</v>
      </c>
      <c r="P45" s="22" t="n">
        <f aca="false">IF(OR($E23="",$F23=0),0,IF(AND(COLUMN()-1&gt;=MAX($E23,1),COLUMN()-1&lt;$E23+$F23*12),$G23,0))</f>
        <v>133.333333333333</v>
      </c>
      <c r="Q45" s="22" t="n">
        <f aca="false">IF(OR($E23="",$F23=0),0,IF(AND(COLUMN()-1&gt;=MAX($E23,1),COLUMN()-1&lt;$E23+$F23*12),$G23,0))</f>
        <v>133.333333333333</v>
      </c>
      <c r="R45" s="22" t="n">
        <f aca="false">IF(OR($E23="",$F23=0),0,IF(AND(COLUMN()-1&gt;=MAX($E23,1),COLUMN()-1&lt;$E23+$F23*12),$G23,0))</f>
        <v>133.333333333333</v>
      </c>
      <c r="S45" s="22" t="n">
        <f aca="false">IF(OR($E23="",$F23=0),0,IF(AND(COLUMN()-1&gt;=MAX($E23,1),COLUMN()-1&lt;$E23+$F23*12),$G23,0))</f>
        <v>133.333333333333</v>
      </c>
      <c r="T45" s="22" t="n">
        <f aca="false">IF(OR($E23="",$F23=0),0,IF(AND(COLUMN()-1&gt;=MAX($E23,1),COLUMN()-1&lt;$E23+$F23*12),$G23,0))</f>
        <v>133.333333333333</v>
      </c>
      <c r="U45" s="22" t="n">
        <f aca="false">IF(OR($E23="",$F23=0),0,IF(AND(COLUMN()-1&gt;=MAX($E23,1),COLUMN()-1&lt;$E23+$F23*12),$G23,0))</f>
        <v>133.333333333333</v>
      </c>
      <c r="V45" s="22" t="n">
        <f aca="false">IF(OR($E23="",$F23=0),0,IF(AND(COLUMN()-1&gt;=MAX($E23,1),COLUMN()-1&lt;$E23+$F23*12),$G23,0))</f>
        <v>133.333333333333</v>
      </c>
      <c r="W45" s="22" t="n">
        <f aca="false">IF(OR($E23="",$F23=0),0,IF(AND(COLUMN()-1&gt;=MAX($E23,1),COLUMN()-1&lt;$E23+$F23*12),$G23,0))</f>
        <v>133.333333333333</v>
      </c>
      <c r="X45" s="22" t="n">
        <f aca="false">IF(OR($E23="",$F23=0),0,IF(AND(COLUMN()-1&gt;=MAX($E23,1),COLUMN()-1&lt;$E23+$F23*12),$G23,0))</f>
        <v>133.333333333333</v>
      </c>
      <c r="Y45" s="22" t="n">
        <f aca="false">IF(OR($E23="",$F23=0),0,IF(AND(COLUMN()-1&gt;=MAX($E23,1),COLUMN()-1&lt;$E23+$F23*12),$G23,0))</f>
        <v>133.333333333333</v>
      </c>
      <c r="Z45" s="22" t="n">
        <f aca="false">IF(OR($E23="",$F23=0),0,IF(AND(COLUMN()-1&gt;=MAX($E23,1),COLUMN()-1&lt;$E23+$F23*12),$G23,0))</f>
        <v>133.333333333333</v>
      </c>
      <c r="AA45" s="22" t="n">
        <f aca="false">IF(OR($E23="",$F23=0),0,IF(AND(COLUMN()-1&gt;=MAX($E23,1),COLUMN()-1&lt;$E23+$F23*12),$G23,0))</f>
        <v>133.333333333333</v>
      </c>
      <c r="AB45" s="22" t="n">
        <f aca="false">IF(OR($E23="",$F23=0),0,IF(AND(COLUMN()-1&gt;=MAX($E23,1),COLUMN()-1&lt;$E23+$F23*12),$G23,0))</f>
        <v>133.333333333333</v>
      </c>
      <c r="AC45" s="22" t="n">
        <f aca="false">IF(OR($E23="",$F23=0),0,IF(AND(COLUMN()-1&gt;=MAX($E23,1),COLUMN()-1&lt;$E23+$F23*12),$G23,0))</f>
        <v>133.333333333333</v>
      </c>
      <c r="AD45" s="22" t="n">
        <f aca="false">IF(OR($E23="",$F23=0),0,IF(AND(COLUMN()-1&gt;=MAX($E23,1),COLUMN()-1&lt;$E23+$F23*12),$G23,0))</f>
        <v>133.333333333333</v>
      </c>
      <c r="AE45" s="22" t="n">
        <f aca="false">IF(OR($E23="",$F23=0),0,IF(AND(COLUMN()-1&gt;=MAX($E23,1),COLUMN()-1&lt;$E23+$F23*12),$G23,0))</f>
        <v>133.333333333333</v>
      </c>
      <c r="AF45" s="22" t="n">
        <f aca="false">IF(OR($E23="",$F23=0),0,IF(AND(COLUMN()-1&gt;=MAX($E23,1),COLUMN()-1&lt;$E23+$F23*12),$G23,0))</f>
        <v>133.333333333333</v>
      </c>
      <c r="AG45" s="22" t="n">
        <f aca="false">IF(OR($E23="",$F23=0),0,IF(AND(COLUMN()-1&gt;=MAX($E23,1),COLUMN()-1&lt;$E23+$F23*12),$G23,0))</f>
        <v>133.333333333333</v>
      </c>
      <c r="AH45" s="22" t="n">
        <f aca="false">IF(OR($E23="",$F23=0),0,IF(AND(COLUMN()-1&gt;=MAX($E23,1),COLUMN()-1&lt;$E23+$F23*12),$G23,0))</f>
        <v>133.333333333333</v>
      </c>
      <c r="AI45" s="22" t="n">
        <f aca="false">IF(OR($E23="",$F23=0),0,IF(AND(COLUMN()-1&gt;=MAX($E23,1),COLUMN()-1&lt;$E23+$F23*12),$G23,0))</f>
        <v>133.333333333333</v>
      </c>
      <c r="AJ45" s="22" t="n">
        <f aca="false">IF(OR($E23="",$F23=0),0,IF(AND(COLUMN()-1&gt;=MAX($E23,1),COLUMN()-1&lt;$E23+$F23*12),$G23,0))</f>
        <v>133.333333333333</v>
      </c>
      <c r="AK45" s="22" t="n">
        <f aca="false">IF(OR($E23="",$F23=0),0,IF(AND(COLUMN()-1&gt;=MAX($E23,1),COLUMN()-1&lt;$E23+$F23*12),$G23,0))</f>
        <v>133.333333333333</v>
      </c>
    </row>
    <row r="46" customFormat="false" ht="15" hidden="false" customHeight="false" outlineLevel="0" collapsed="false">
      <c r="A46" s="2" t="str">
        <f aca="false">A24</f>
        <v>Planned enhancement 2</v>
      </c>
      <c r="B46" s="22" t="n">
        <f aca="false">IF(OR($E24="",$F24=0),0,IF(AND(COLUMN()-1&gt;=MAX($E24,1),COLUMN()-1&lt;$E24+$F24*12),$G24,0))</f>
        <v>0</v>
      </c>
      <c r="C46" s="22" t="n">
        <f aca="false">IF(OR($E24="",$F24=0),0,IF(AND(COLUMN()-1&gt;=MAX($E24,1),COLUMN()-1&lt;$E24+$F24*12),$G24,0))</f>
        <v>0</v>
      </c>
      <c r="D46" s="22" t="n">
        <f aca="false">IF(OR($E24="",$F24=0),0,IF(AND(COLUMN()-1&gt;=MAX($E24,1),COLUMN()-1&lt;$E24+$F24*12),$G24,0))</f>
        <v>0</v>
      </c>
      <c r="E46" s="22" t="n">
        <f aca="false">IF(OR($E24="",$F24=0),0,IF(AND(COLUMN()-1&gt;=MAX($E24,1),COLUMN()-1&lt;$E24+$F24*12),$G24,0))</f>
        <v>0</v>
      </c>
      <c r="F46" s="22" t="n">
        <f aca="false">IF(OR($E24="",$F24=0),0,IF(AND(COLUMN()-1&gt;=MAX($E24,1),COLUMN()-1&lt;$E24+$F24*12),$G24,0))</f>
        <v>0</v>
      </c>
      <c r="G46" s="22" t="n">
        <f aca="false">IF(OR($E24="",$F24=0),0,IF(AND(COLUMN()-1&gt;=MAX($E24,1),COLUMN()-1&lt;$E24+$F24*12),$G24,0))</f>
        <v>0</v>
      </c>
      <c r="H46" s="22" t="n">
        <f aca="false">IF(OR($E24="",$F24=0),0,IF(AND(COLUMN()-1&gt;=MAX($E24,1),COLUMN()-1&lt;$E24+$F24*12),$G24,0))</f>
        <v>0</v>
      </c>
      <c r="I46" s="22" t="n">
        <f aca="false">IF(OR($E24="",$F24=0),0,IF(AND(COLUMN()-1&gt;=MAX($E24,1),COLUMN()-1&lt;$E24+$F24*12),$G24,0))</f>
        <v>0</v>
      </c>
      <c r="J46" s="22" t="n">
        <f aca="false">IF(OR($E24="",$F24=0),0,IF(AND(COLUMN()-1&gt;=MAX($E24,1),COLUMN()-1&lt;$E24+$F24*12),$G24,0))</f>
        <v>0</v>
      </c>
      <c r="K46" s="22" t="n">
        <f aca="false">IF(OR($E24="",$F24=0),0,IF(AND(COLUMN()-1&gt;=MAX($E24,1),COLUMN()-1&lt;$E24+$F24*12),$G24,0))</f>
        <v>0</v>
      </c>
      <c r="L46" s="22" t="n">
        <f aca="false">IF(OR($E24="",$F24=0),0,IF(AND(COLUMN()-1&gt;=MAX($E24,1),COLUMN()-1&lt;$E24+$F24*12),$G24,0))</f>
        <v>0</v>
      </c>
      <c r="M46" s="22" t="n">
        <f aca="false">IF(OR($E24="",$F24=0),0,IF(AND(COLUMN()-1&gt;=MAX($E24,1),COLUMN()-1&lt;$E24+$F24*12),$G24,0))</f>
        <v>0</v>
      </c>
      <c r="N46" s="22" t="n">
        <f aca="false">IF(OR($E24="",$F24=0),0,IF(AND(COLUMN()-1&gt;=MAX($E24,1),COLUMN()-1&lt;$E24+$F24*12),$G24,0))</f>
        <v>0</v>
      </c>
      <c r="O46" s="22" t="n">
        <f aca="false">IF(OR($E24="",$F24=0),0,IF(AND(COLUMN()-1&gt;=MAX($E24,1),COLUMN()-1&lt;$E24+$F24*12),$G24,0))</f>
        <v>0</v>
      </c>
      <c r="P46" s="22" t="n">
        <f aca="false">IF(OR($E24="",$F24=0),0,IF(AND(COLUMN()-1&gt;=MAX($E24,1),COLUMN()-1&lt;$E24+$F24*12),$G24,0))</f>
        <v>0</v>
      </c>
      <c r="Q46" s="22" t="n">
        <f aca="false">IF(OR($E24="",$F24=0),0,IF(AND(COLUMN()-1&gt;=MAX($E24,1),COLUMN()-1&lt;$E24+$F24*12),$G24,0))</f>
        <v>0</v>
      </c>
      <c r="R46" s="22" t="n">
        <f aca="false">IF(OR($E24="",$F24=0),0,IF(AND(COLUMN()-1&gt;=MAX($E24,1),COLUMN()-1&lt;$E24+$F24*12),$G24,0))</f>
        <v>0</v>
      </c>
      <c r="S46" s="22" t="n">
        <f aca="false">IF(OR($E24="",$F24=0),0,IF(AND(COLUMN()-1&gt;=MAX($E24,1),COLUMN()-1&lt;$E24+$F24*12),$G24,0))</f>
        <v>0</v>
      </c>
      <c r="T46" s="22" t="n">
        <f aca="false">IF(OR($E24="",$F24=0),0,IF(AND(COLUMN()-1&gt;=MAX($E24,1),COLUMN()-1&lt;$E24+$F24*12),$G24,0))</f>
        <v>0</v>
      </c>
      <c r="U46" s="22" t="n">
        <f aca="false">IF(OR($E24="",$F24=0),0,IF(AND(COLUMN()-1&gt;=MAX($E24,1),COLUMN()-1&lt;$E24+$F24*12),$G24,0))</f>
        <v>0</v>
      </c>
      <c r="V46" s="22" t="n">
        <f aca="false">IF(OR($E24="",$F24=0),0,IF(AND(COLUMN()-1&gt;=MAX($E24,1),COLUMN()-1&lt;$E24+$F24*12),$G24,0))</f>
        <v>0</v>
      </c>
      <c r="W46" s="22" t="n">
        <f aca="false">IF(OR($E24="",$F24=0),0,IF(AND(COLUMN()-1&gt;=MAX($E24,1),COLUMN()-1&lt;$E24+$F24*12),$G24,0))</f>
        <v>0</v>
      </c>
      <c r="X46" s="22" t="n">
        <f aca="false">IF(OR($E24="",$F24=0),0,IF(AND(COLUMN()-1&gt;=MAX($E24,1),COLUMN()-1&lt;$E24+$F24*12),$G24,0))</f>
        <v>0</v>
      </c>
      <c r="Y46" s="22" t="n">
        <f aca="false">IF(OR($E24="",$F24=0),0,IF(AND(COLUMN()-1&gt;=MAX($E24,1),COLUMN()-1&lt;$E24+$F24*12),$G24,0))</f>
        <v>0</v>
      </c>
      <c r="Z46" s="22" t="n">
        <f aca="false">IF(OR($E24="",$F24=0),0,IF(AND(COLUMN()-1&gt;=MAX($E24,1),COLUMN()-1&lt;$E24+$F24*12),$G24,0))</f>
        <v>0</v>
      </c>
      <c r="AA46" s="22" t="n">
        <f aca="false">IF(OR($E24="",$F24=0),0,IF(AND(COLUMN()-1&gt;=MAX($E24,1),COLUMN()-1&lt;$E24+$F24*12),$G24,0))</f>
        <v>0</v>
      </c>
      <c r="AB46" s="22" t="n">
        <f aca="false">IF(OR($E24="",$F24=0),0,IF(AND(COLUMN()-1&gt;=MAX($E24,1),COLUMN()-1&lt;$E24+$F24*12),$G24,0))</f>
        <v>0</v>
      </c>
      <c r="AC46" s="22" t="n">
        <f aca="false">IF(OR($E24="",$F24=0),0,IF(AND(COLUMN()-1&gt;=MAX($E24,1),COLUMN()-1&lt;$E24+$F24*12),$G24,0))</f>
        <v>0</v>
      </c>
      <c r="AD46" s="22" t="n">
        <f aca="false">IF(OR($E24="",$F24=0),0,IF(AND(COLUMN()-1&gt;=MAX($E24,1),COLUMN()-1&lt;$E24+$F24*12),$G24,0))</f>
        <v>0</v>
      </c>
      <c r="AE46" s="22" t="n">
        <f aca="false">IF(OR($E24="",$F24=0),0,IF(AND(COLUMN()-1&gt;=MAX($E24,1),COLUMN()-1&lt;$E24+$F24*12),$G24,0))</f>
        <v>0</v>
      </c>
      <c r="AF46" s="22" t="n">
        <f aca="false">IF(OR($E24="",$F24=0),0,IF(AND(COLUMN()-1&gt;=MAX($E24,1),COLUMN()-1&lt;$E24+$F24*12),$G24,0))</f>
        <v>0</v>
      </c>
      <c r="AG46" s="22" t="n">
        <f aca="false">IF(OR($E24="",$F24=0),0,IF(AND(COLUMN()-1&gt;=MAX($E24,1),COLUMN()-1&lt;$E24+$F24*12),$G24,0))</f>
        <v>0</v>
      </c>
      <c r="AH46" s="22" t="n">
        <f aca="false">IF(OR($E24="",$F24=0),0,IF(AND(COLUMN()-1&gt;=MAX($E24,1),COLUMN()-1&lt;$E24+$F24*12),$G24,0))</f>
        <v>0</v>
      </c>
      <c r="AI46" s="22" t="n">
        <f aca="false">IF(OR($E24="",$F24=0),0,IF(AND(COLUMN()-1&gt;=MAX($E24,1),COLUMN()-1&lt;$E24+$F24*12),$G24,0))</f>
        <v>0</v>
      </c>
      <c r="AJ46" s="22" t="n">
        <f aca="false">IF(OR($E24="",$F24=0),0,IF(AND(COLUMN()-1&gt;=MAX($E24,1),COLUMN()-1&lt;$E24+$F24*12),$G24,0))</f>
        <v>0</v>
      </c>
      <c r="AK46" s="22" t="n">
        <f aca="false">IF(OR($E24="",$F24=0),0,IF(AND(COLUMN()-1&gt;=MAX($E24,1),COLUMN()-1&lt;$E24+$F24*12),$G24,0))</f>
        <v>0</v>
      </c>
    </row>
    <row r="47" customFormat="false" ht="15" hidden="false" customHeight="false" outlineLevel="0" collapsed="false">
      <c r="A47" s="2" t="str">
        <f aca="false">A25</f>
        <v>Planned enhancement 3</v>
      </c>
      <c r="B47" s="22" t="n">
        <f aca="false">IF(OR($E25="",$F25=0),0,IF(AND(COLUMN()-1&gt;=MAX($E25,1),COLUMN()-1&lt;$E25+$F25*12),$G25,0))</f>
        <v>0</v>
      </c>
      <c r="C47" s="22" t="n">
        <f aca="false">IF(OR($E25="",$F25=0),0,IF(AND(COLUMN()-1&gt;=MAX($E25,1),COLUMN()-1&lt;$E25+$F25*12),$G25,0))</f>
        <v>0</v>
      </c>
      <c r="D47" s="22" t="n">
        <f aca="false">IF(OR($E25="",$F25=0),0,IF(AND(COLUMN()-1&gt;=MAX($E25,1),COLUMN()-1&lt;$E25+$F25*12),$G25,0))</f>
        <v>0</v>
      </c>
      <c r="E47" s="22" t="n">
        <f aca="false">IF(OR($E25="",$F25=0),0,IF(AND(COLUMN()-1&gt;=MAX($E25,1),COLUMN()-1&lt;$E25+$F25*12),$G25,0))</f>
        <v>0</v>
      </c>
      <c r="F47" s="22" t="n">
        <f aca="false">IF(OR($E25="",$F25=0),0,IF(AND(COLUMN()-1&gt;=MAX($E25,1),COLUMN()-1&lt;$E25+$F25*12),$G25,0))</f>
        <v>0</v>
      </c>
      <c r="G47" s="22" t="n">
        <f aca="false">IF(OR($E25="",$F25=0),0,IF(AND(COLUMN()-1&gt;=MAX($E25,1),COLUMN()-1&lt;$E25+$F25*12),$G25,0))</f>
        <v>0</v>
      </c>
      <c r="H47" s="22" t="n">
        <f aca="false">IF(OR($E25="",$F25=0),0,IF(AND(COLUMN()-1&gt;=MAX($E25,1),COLUMN()-1&lt;$E25+$F25*12),$G25,0))</f>
        <v>0</v>
      </c>
      <c r="I47" s="22" t="n">
        <f aca="false">IF(OR($E25="",$F25=0),0,IF(AND(COLUMN()-1&gt;=MAX($E25,1),COLUMN()-1&lt;$E25+$F25*12),$G25,0))</f>
        <v>0</v>
      </c>
      <c r="J47" s="22" t="n">
        <f aca="false">IF(OR($E25="",$F25=0),0,IF(AND(COLUMN()-1&gt;=MAX($E25,1),COLUMN()-1&lt;$E25+$F25*12),$G25,0))</f>
        <v>0</v>
      </c>
      <c r="K47" s="22" t="n">
        <f aca="false">IF(OR($E25="",$F25=0),0,IF(AND(COLUMN()-1&gt;=MAX($E25,1),COLUMN()-1&lt;$E25+$F25*12),$G25,0))</f>
        <v>0</v>
      </c>
      <c r="L47" s="22" t="n">
        <f aca="false">IF(OR($E25="",$F25=0),0,IF(AND(COLUMN()-1&gt;=MAX($E25,1),COLUMN()-1&lt;$E25+$F25*12),$G25,0))</f>
        <v>0</v>
      </c>
      <c r="M47" s="22" t="n">
        <f aca="false">IF(OR($E25="",$F25=0),0,IF(AND(COLUMN()-1&gt;=MAX($E25,1),COLUMN()-1&lt;$E25+$F25*12),$G25,0))</f>
        <v>0</v>
      </c>
      <c r="N47" s="22" t="n">
        <f aca="false">IF(OR($E25="",$F25=0),0,IF(AND(COLUMN()-1&gt;=MAX($E25,1),COLUMN()-1&lt;$E25+$F25*12),$G25,0))</f>
        <v>0</v>
      </c>
      <c r="O47" s="22" t="n">
        <f aca="false">IF(OR($E25="",$F25=0),0,IF(AND(COLUMN()-1&gt;=MAX($E25,1),COLUMN()-1&lt;$E25+$F25*12),$G25,0))</f>
        <v>0</v>
      </c>
      <c r="P47" s="22" t="n">
        <f aca="false">IF(OR($E25="",$F25=0),0,IF(AND(COLUMN()-1&gt;=MAX($E25,1),COLUMN()-1&lt;$E25+$F25*12),$G25,0))</f>
        <v>0</v>
      </c>
      <c r="Q47" s="22" t="n">
        <f aca="false">IF(OR($E25="",$F25=0),0,IF(AND(COLUMN()-1&gt;=MAX($E25,1),COLUMN()-1&lt;$E25+$F25*12),$G25,0))</f>
        <v>0</v>
      </c>
      <c r="R47" s="22" t="n">
        <f aca="false">IF(OR($E25="",$F25=0),0,IF(AND(COLUMN()-1&gt;=MAX($E25,1),COLUMN()-1&lt;$E25+$F25*12),$G25,0))</f>
        <v>0</v>
      </c>
      <c r="S47" s="22" t="n">
        <f aca="false">IF(OR($E25="",$F25=0),0,IF(AND(COLUMN()-1&gt;=MAX($E25,1),COLUMN()-1&lt;$E25+$F25*12),$G25,0))</f>
        <v>0</v>
      </c>
      <c r="T47" s="22" t="n">
        <f aca="false">IF(OR($E25="",$F25=0),0,IF(AND(COLUMN()-1&gt;=MAX($E25,1),COLUMN()-1&lt;$E25+$F25*12),$G25,0))</f>
        <v>0</v>
      </c>
      <c r="U47" s="22" t="n">
        <f aca="false">IF(OR($E25="",$F25=0),0,IF(AND(COLUMN()-1&gt;=MAX($E25,1),COLUMN()-1&lt;$E25+$F25*12),$G25,0))</f>
        <v>0</v>
      </c>
      <c r="V47" s="22" t="n">
        <f aca="false">IF(OR($E25="",$F25=0),0,IF(AND(COLUMN()-1&gt;=MAX($E25,1),COLUMN()-1&lt;$E25+$F25*12),$G25,0))</f>
        <v>0</v>
      </c>
      <c r="W47" s="22" t="n">
        <f aca="false">IF(OR($E25="",$F25=0),0,IF(AND(COLUMN()-1&gt;=MAX($E25,1),COLUMN()-1&lt;$E25+$F25*12),$G25,0))</f>
        <v>0</v>
      </c>
      <c r="X47" s="22" t="n">
        <f aca="false">IF(OR($E25="",$F25=0),0,IF(AND(COLUMN()-1&gt;=MAX($E25,1),COLUMN()-1&lt;$E25+$F25*12),$G25,0))</f>
        <v>0</v>
      </c>
      <c r="Y47" s="22" t="n">
        <f aca="false">IF(OR($E25="",$F25=0),0,IF(AND(COLUMN()-1&gt;=MAX($E25,1),COLUMN()-1&lt;$E25+$F25*12),$G25,0))</f>
        <v>0</v>
      </c>
      <c r="Z47" s="22" t="n">
        <f aca="false">IF(OR($E25="",$F25=0),0,IF(AND(COLUMN()-1&gt;=MAX($E25,1),COLUMN()-1&lt;$E25+$F25*12),$G25,0))</f>
        <v>0</v>
      </c>
      <c r="AA47" s="22" t="n">
        <f aca="false">IF(OR($E25="",$F25=0),0,IF(AND(COLUMN()-1&gt;=MAX($E25,1),COLUMN()-1&lt;$E25+$F25*12),$G25,0))</f>
        <v>0</v>
      </c>
      <c r="AB47" s="22" t="n">
        <f aca="false">IF(OR($E25="",$F25=0),0,IF(AND(COLUMN()-1&gt;=MAX($E25,1),COLUMN()-1&lt;$E25+$F25*12),$G25,0))</f>
        <v>0</v>
      </c>
      <c r="AC47" s="22" t="n">
        <f aca="false">IF(OR($E25="",$F25=0),0,IF(AND(COLUMN()-1&gt;=MAX($E25,1),COLUMN()-1&lt;$E25+$F25*12),$G25,0))</f>
        <v>0</v>
      </c>
      <c r="AD47" s="22" t="n">
        <f aca="false">IF(OR($E25="",$F25=0),0,IF(AND(COLUMN()-1&gt;=MAX($E25,1),COLUMN()-1&lt;$E25+$F25*12),$G25,0))</f>
        <v>0</v>
      </c>
      <c r="AE47" s="22" t="n">
        <f aca="false">IF(OR($E25="",$F25=0),0,IF(AND(COLUMN()-1&gt;=MAX($E25,1),COLUMN()-1&lt;$E25+$F25*12),$G25,0))</f>
        <v>0</v>
      </c>
      <c r="AF47" s="22" t="n">
        <f aca="false">IF(OR($E25="",$F25=0),0,IF(AND(COLUMN()-1&gt;=MAX($E25,1),COLUMN()-1&lt;$E25+$F25*12),$G25,0))</f>
        <v>0</v>
      </c>
      <c r="AG47" s="22" t="n">
        <f aca="false">IF(OR($E25="",$F25=0),0,IF(AND(COLUMN()-1&gt;=MAX($E25,1),COLUMN()-1&lt;$E25+$F25*12),$G25,0))</f>
        <v>0</v>
      </c>
      <c r="AH47" s="22" t="n">
        <f aca="false">IF(OR($E25="",$F25=0),0,IF(AND(COLUMN()-1&gt;=MAX($E25,1),COLUMN()-1&lt;$E25+$F25*12),$G25,0))</f>
        <v>0</v>
      </c>
      <c r="AI47" s="22" t="n">
        <f aca="false">IF(OR($E25="",$F25=0),0,IF(AND(COLUMN()-1&gt;=MAX($E25,1),COLUMN()-1&lt;$E25+$F25*12),$G25,0))</f>
        <v>0</v>
      </c>
      <c r="AJ47" s="22" t="n">
        <f aca="false">IF(OR($E25="",$F25=0),0,IF(AND(COLUMN()-1&gt;=MAX($E25,1),COLUMN()-1&lt;$E25+$F25*12),$G25,0))</f>
        <v>0</v>
      </c>
      <c r="AK47" s="22" t="n">
        <f aca="false">IF(OR($E25="",$F25=0),0,IF(AND(COLUMN()-1&gt;=MAX($E25,1),COLUMN()-1&lt;$E25+$F25*12),$G25,0))</f>
        <v>0</v>
      </c>
    </row>
    <row r="48" customFormat="false" ht="15" hidden="false" customHeight="false" outlineLevel="0" collapsed="false">
      <c r="A48" s="2" t="str">
        <f aca="false">A26</f>
        <v>Planned enhancement 4</v>
      </c>
      <c r="B48" s="22" t="n">
        <f aca="false">IF(OR($E26="",$F26=0),0,IF(AND(COLUMN()-1&gt;=MAX($E26,1),COLUMN()-1&lt;$E26+$F26*12),$G26,0))</f>
        <v>0</v>
      </c>
      <c r="C48" s="22" t="n">
        <f aca="false">IF(OR($E26="",$F26=0),0,IF(AND(COLUMN()-1&gt;=MAX($E26,1),COLUMN()-1&lt;$E26+$F26*12),$G26,0))</f>
        <v>0</v>
      </c>
      <c r="D48" s="22" t="n">
        <f aca="false">IF(OR($E26="",$F26=0),0,IF(AND(COLUMN()-1&gt;=MAX($E26,1),COLUMN()-1&lt;$E26+$F26*12),$G26,0))</f>
        <v>0</v>
      </c>
      <c r="E48" s="22" t="n">
        <f aca="false">IF(OR($E26="",$F26=0),0,IF(AND(COLUMN()-1&gt;=MAX($E26,1),COLUMN()-1&lt;$E26+$F26*12),$G26,0))</f>
        <v>0</v>
      </c>
      <c r="F48" s="22" t="n">
        <f aca="false">IF(OR($E26="",$F26=0),0,IF(AND(COLUMN()-1&gt;=MAX($E26,1),COLUMN()-1&lt;$E26+$F26*12),$G26,0))</f>
        <v>0</v>
      </c>
      <c r="G48" s="22" t="n">
        <f aca="false">IF(OR($E26="",$F26=0),0,IF(AND(COLUMN()-1&gt;=MAX($E26,1),COLUMN()-1&lt;$E26+$F26*12),$G26,0))</f>
        <v>0</v>
      </c>
      <c r="H48" s="22" t="n">
        <f aca="false">IF(OR($E26="",$F26=0),0,IF(AND(COLUMN()-1&gt;=MAX($E26,1),COLUMN()-1&lt;$E26+$F26*12),$G26,0))</f>
        <v>0</v>
      </c>
      <c r="I48" s="22" t="n">
        <f aca="false">IF(OR($E26="",$F26=0),0,IF(AND(COLUMN()-1&gt;=MAX($E26,1),COLUMN()-1&lt;$E26+$F26*12),$G26,0))</f>
        <v>0</v>
      </c>
      <c r="J48" s="22" t="n">
        <f aca="false">IF(OR($E26="",$F26=0),0,IF(AND(COLUMN()-1&gt;=MAX($E26,1),COLUMN()-1&lt;$E26+$F26*12),$G26,0))</f>
        <v>0</v>
      </c>
      <c r="K48" s="22" t="n">
        <f aca="false">IF(OR($E26="",$F26=0),0,IF(AND(COLUMN()-1&gt;=MAX($E26,1),COLUMN()-1&lt;$E26+$F26*12),$G26,0))</f>
        <v>0</v>
      </c>
      <c r="L48" s="22" t="n">
        <f aca="false">IF(OR($E26="",$F26=0),0,IF(AND(COLUMN()-1&gt;=MAX($E26,1),COLUMN()-1&lt;$E26+$F26*12),$G26,0))</f>
        <v>0</v>
      </c>
      <c r="M48" s="22" t="n">
        <f aca="false">IF(OR($E26="",$F26=0),0,IF(AND(COLUMN()-1&gt;=MAX($E26,1),COLUMN()-1&lt;$E26+$F26*12),$G26,0))</f>
        <v>0</v>
      </c>
      <c r="N48" s="22" t="n">
        <f aca="false">IF(OR($E26="",$F26=0),0,IF(AND(COLUMN()-1&gt;=MAX($E26,1),COLUMN()-1&lt;$E26+$F26*12),$G26,0))</f>
        <v>0</v>
      </c>
      <c r="O48" s="22" t="n">
        <f aca="false">IF(OR($E26="",$F26=0),0,IF(AND(COLUMN()-1&gt;=MAX($E26,1),COLUMN()-1&lt;$E26+$F26*12),$G26,0))</f>
        <v>0</v>
      </c>
      <c r="P48" s="22" t="n">
        <f aca="false">IF(OR($E26="",$F26=0),0,IF(AND(COLUMN()-1&gt;=MAX($E26,1),COLUMN()-1&lt;$E26+$F26*12),$G26,0))</f>
        <v>0</v>
      </c>
      <c r="Q48" s="22" t="n">
        <f aca="false">IF(OR($E26="",$F26=0),0,IF(AND(COLUMN()-1&gt;=MAX($E26,1),COLUMN()-1&lt;$E26+$F26*12),$G26,0))</f>
        <v>0</v>
      </c>
      <c r="R48" s="22" t="n">
        <f aca="false">IF(OR($E26="",$F26=0),0,IF(AND(COLUMN()-1&gt;=MAX($E26,1),COLUMN()-1&lt;$E26+$F26*12),$G26,0))</f>
        <v>0</v>
      </c>
      <c r="S48" s="22" t="n">
        <f aca="false">IF(OR($E26="",$F26=0),0,IF(AND(COLUMN()-1&gt;=MAX($E26,1),COLUMN()-1&lt;$E26+$F26*12),$G26,0))</f>
        <v>0</v>
      </c>
      <c r="T48" s="22" t="n">
        <f aca="false">IF(OR($E26="",$F26=0),0,IF(AND(COLUMN()-1&gt;=MAX($E26,1),COLUMN()-1&lt;$E26+$F26*12),$G26,0))</f>
        <v>0</v>
      </c>
      <c r="U48" s="22" t="n">
        <f aca="false">IF(OR($E26="",$F26=0),0,IF(AND(COLUMN()-1&gt;=MAX($E26,1),COLUMN()-1&lt;$E26+$F26*12),$G26,0))</f>
        <v>0</v>
      </c>
      <c r="V48" s="22" t="n">
        <f aca="false">IF(OR($E26="",$F26=0),0,IF(AND(COLUMN()-1&gt;=MAX($E26,1),COLUMN()-1&lt;$E26+$F26*12),$G26,0))</f>
        <v>0</v>
      </c>
      <c r="W48" s="22" t="n">
        <f aca="false">IF(OR($E26="",$F26=0),0,IF(AND(COLUMN()-1&gt;=MAX($E26,1),COLUMN()-1&lt;$E26+$F26*12),$G26,0))</f>
        <v>0</v>
      </c>
      <c r="X48" s="22" t="n">
        <f aca="false">IF(OR($E26="",$F26=0),0,IF(AND(COLUMN()-1&gt;=MAX($E26,1),COLUMN()-1&lt;$E26+$F26*12),$G26,0))</f>
        <v>0</v>
      </c>
      <c r="Y48" s="22" t="n">
        <f aca="false">IF(OR($E26="",$F26=0),0,IF(AND(COLUMN()-1&gt;=MAX($E26,1),COLUMN()-1&lt;$E26+$F26*12),$G26,0))</f>
        <v>0</v>
      </c>
      <c r="Z48" s="22" t="n">
        <f aca="false">IF(OR($E26="",$F26=0),0,IF(AND(COLUMN()-1&gt;=MAX($E26,1),COLUMN()-1&lt;$E26+$F26*12),$G26,0))</f>
        <v>0</v>
      </c>
      <c r="AA48" s="22" t="n">
        <f aca="false">IF(OR($E26="",$F26=0),0,IF(AND(COLUMN()-1&gt;=MAX($E26,1),COLUMN()-1&lt;$E26+$F26*12),$G26,0))</f>
        <v>0</v>
      </c>
      <c r="AB48" s="22" t="n">
        <f aca="false">IF(OR($E26="",$F26=0),0,IF(AND(COLUMN()-1&gt;=MAX($E26,1),COLUMN()-1&lt;$E26+$F26*12),$G26,0))</f>
        <v>0</v>
      </c>
      <c r="AC48" s="22" t="n">
        <f aca="false">IF(OR($E26="",$F26=0),0,IF(AND(COLUMN()-1&gt;=MAX($E26,1),COLUMN()-1&lt;$E26+$F26*12),$G26,0))</f>
        <v>0</v>
      </c>
      <c r="AD48" s="22" t="n">
        <f aca="false">IF(OR($E26="",$F26=0),0,IF(AND(COLUMN()-1&gt;=MAX($E26,1),COLUMN()-1&lt;$E26+$F26*12),$G26,0))</f>
        <v>0</v>
      </c>
      <c r="AE48" s="22" t="n">
        <f aca="false">IF(OR($E26="",$F26=0),0,IF(AND(COLUMN()-1&gt;=MAX($E26,1),COLUMN()-1&lt;$E26+$F26*12),$G26,0))</f>
        <v>0</v>
      </c>
      <c r="AF48" s="22" t="n">
        <f aca="false">IF(OR($E26="",$F26=0),0,IF(AND(COLUMN()-1&gt;=MAX($E26,1),COLUMN()-1&lt;$E26+$F26*12),$G26,0))</f>
        <v>0</v>
      </c>
      <c r="AG48" s="22" t="n">
        <f aca="false">IF(OR($E26="",$F26=0),0,IF(AND(COLUMN()-1&gt;=MAX($E26,1),COLUMN()-1&lt;$E26+$F26*12),$G26,0))</f>
        <v>0</v>
      </c>
      <c r="AH48" s="22" t="n">
        <f aca="false">IF(OR($E26="",$F26=0),0,IF(AND(COLUMN()-1&gt;=MAX($E26,1),COLUMN()-1&lt;$E26+$F26*12),$G26,0))</f>
        <v>0</v>
      </c>
      <c r="AI48" s="22" t="n">
        <f aca="false">IF(OR($E26="",$F26=0),0,IF(AND(COLUMN()-1&gt;=MAX($E26,1),COLUMN()-1&lt;$E26+$F26*12),$G26,0))</f>
        <v>0</v>
      </c>
      <c r="AJ48" s="22" t="n">
        <f aca="false">IF(OR($E26="",$F26=0),0,IF(AND(COLUMN()-1&gt;=MAX($E26,1),COLUMN()-1&lt;$E26+$F26*12),$G26,0))</f>
        <v>0</v>
      </c>
      <c r="AK48" s="22" t="n">
        <f aca="false">IF(OR($E26="",$F26=0),0,IF(AND(COLUMN()-1&gt;=MAX($E26,1),COLUMN()-1&lt;$E26+$F26*12),$G26,0))</f>
        <v>0</v>
      </c>
    </row>
    <row r="49" customFormat="false" ht="15" hidden="false" customHeight="false" outlineLevel="0" collapsed="false">
      <c r="A49" s="20" t="s">
        <v>232</v>
      </c>
      <c r="B49" s="23" t="n">
        <f aca="false">SUM(B31:B43)</f>
        <v>3048.9417989418</v>
      </c>
      <c r="C49" s="23" t="n">
        <f aca="false">SUM(C31:C43)</f>
        <v>3048.9417989418</v>
      </c>
      <c r="D49" s="23" t="n">
        <f aca="false">SUM(D31:D43)</f>
        <v>3048.9417989418</v>
      </c>
      <c r="E49" s="23" t="n">
        <f aca="false">SUM(E31:E43)</f>
        <v>3048.9417989418</v>
      </c>
      <c r="F49" s="23" t="n">
        <f aca="false">SUM(F31:F43)</f>
        <v>3048.9417989418</v>
      </c>
      <c r="G49" s="23" t="n">
        <f aca="false">SUM(G31:G43)</f>
        <v>3048.9417989418</v>
      </c>
      <c r="H49" s="23" t="n">
        <f aca="false">SUM(H31:H43)</f>
        <v>3048.9417989418</v>
      </c>
      <c r="I49" s="23" t="n">
        <f aca="false">SUM(I31:I43)</f>
        <v>3048.9417989418</v>
      </c>
      <c r="J49" s="23" t="n">
        <f aca="false">SUM(J31:J43)</f>
        <v>3048.9417989418</v>
      </c>
      <c r="K49" s="23" t="n">
        <f aca="false">SUM(K31:K43)</f>
        <v>3048.9417989418</v>
      </c>
      <c r="L49" s="23" t="n">
        <f aca="false">SUM(L31:L43)</f>
        <v>3048.9417989418</v>
      </c>
      <c r="M49" s="23" t="n">
        <f aca="false">SUM(M31:M43)</f>
        <v>3048.9417989418</v>
      </c>
      <c r="N49" s="23" t="n">
        <f aca="false">SUM(N31:N43)</f>
        <v>3048.9417989418</v>
      </c>
      <c r="O49" s="23" t="n">
        <f aca="false">SUM(O31:O43)</f>
        <v>3048.9417989418</v>
      </c>
      <c r="P49" s="23" t="n">
        <f aca="false">SUM(P31:P43)</f>
        <v>3048.9417989418</v>
      </c>
      <c r="Q49" s="23" t="n">
        <f aca="false">SUM(Q31:Q43)</f>
        <v>3048.9417989418</v>
      </c>
      <c r="R49" s="23" t="n">
        <f aca="false">SUM(R31:R43)</f>
        <v>3048.9417989418</v>
      </c>
      <c r="S49" s="23" t="n">
        <f aca="false">SUM(S31:S43)</f>
        <v>3048.9417989418</v>
      </c>
      <c r="T49" s="23" t="n">
        <f aca="false">SUM(T31:T43)</f>
        <v>3048.9417989418</v>
      </c>
      <c r="U49" s="23" t="n">
        <f aca="false">SUM(U31:U43)</f>
        <v>3048.9417989418</v>
      </c>
      <c r="V49" s="23" t="n">
        <f aca="false">SUM(V31:V43)</f>
        <v>3048.9417989418</v>
      </c>
      <c r="W49" s="23" t="n">
        <f aca="false">SUM(W31:W43)</f>
        <v>3048.9417989418</v>
      </c>
      <c r="X49" s="23" t="n">
        <f aca="false">SUM(X31:X43)</f>
        <v>3048.9417989418</v>
      </c>
      <c r="Y49" s="23" t="n">
        <f aca="false">SUM(Y31:Y43)</f>
        <v>3048.9417989418</v>
      </c>
      <c r="Z49" s="23" t="n">
        <f aca="false">SUM(Z31:Z43)</f>
        <v>3048.9417989418</v>
      </c>
      <c r="AA49" s="23" t="n">
        <f aca="false">SUM(AA31:AA43)</f>
        <v>3048.9417989418</v>
      </c>
      <c r="AB49" s="23" t="n">
        <f aca="false">SUM(AB31:AB43)</f>
        <v>3048.9417989418</v>
      </c>
      <c r="AC49" s="23" t="n">
        <f aca="false">SUM(AC31:AC43)</f>
        <v>3048.9417989418</v>
      </c>
      <c r="AD49" s="23" t="n">
        <f aca="false">SUM(AD31:AD43)</f>
        <v>3048.9417989418</v>
      </c>
      <c r="AE49" s="23" t="n">
        <f aca="false">SUM(AE31:AE43)</f>
        <v>3048.9417989418</v>
      </c>
      <c r="AF49" s="23" t="n">
        <f aca="false">SUM(AF31:AF43)</f>
        <v>3048.9417989418</v>
      </c>
      <c r="AG49" s="23" t="n">
        <f aca="false">SUM(AG31:AG43)</f>
        <v>3048.9417989418</v>
      </c>
      <c r="AH49" s="23" t="n">
        <f aca="false">SUM(AH31:AH43)</f>
        <v>3048.9417989418</v>
      </c>
      <c r="AI49" s="23" t="n">
        <f aca="false">SUM(AI31:AI43)</f>
        <v>3048.9417989418</v>
      </c>
      <c r="AJ49" s="23" t="n">
        <f aca="false">SUM(AJ31:AJ43)</f>
        <v>3048.9417989418</v>
      </c>
      <c r="AK49" s="23" t="n">
        <f aca="false">SUM(AK31:AK43)</f>
        <v>3048.9417989418</v>
      </c>
    </row>
    <row r="50" customFormat="false" ht="15" hidden="false" customHeight="false" outlineLevel="0" collapsed="false">
      <c r="A50" s="20" t="s">
        <v>233</v>
      </c>
      <c r="B50" s="23" t="n">
        <f aca="false">SUM(B44:B48)</f>
        <v>0</v>
      </c>
      <c r="C50" s="23" t="n">
        <f aca="false">SUM(C44:C48)</f>
        <v>0</v>
      </c>
      <c r="D50" s="23" t="n">
        <f aca="false">SUM(D44:D48)</f>
        <v>0</v>
      </c>
      <c r="E50" s="23" t="n">
        <f aca="false">SUM(E44:E48)</f>
        <v>0</v>
      </c>
      <c r="F50" s="23" t="n">
        <f aca="false">SUM(F44:F48)</f>
        <v>0</v>
      </c>
      <c r="G50" s="23" t="n">
        <f aca="false">SUM(G44:G48)</f>
        <v>133.333333333333</v>
      </c>
      <c r="H50" s="23" t="n">
        <f aca="false">SUM(H44:H48)</f>
        <v>133.333333333333</v>
      </c>
      <c r="I50" s="23" t="n">
        <f aca="false">SUM(I44:I48)</f>
        <v>133.333333333333</v>
      </c>
      <c r="J50" s="23" t="n">
        <f aca="false">SUM(J44:J48)</f>
        <v>133.333333333333</v>
      </c>
      <c r="K50" s="23" t="n">
        <f aca="false">SUM(K44:K48)</f>
        <v>133.333333333333</v>
      </c>
      <c r="L50" s="23" t="n">
        <f aca="false">SUM(L44:L48)</f>
        <v>133.333333333333</v>
      </c>
      <c r="M50" s="23" t="n">
        <f aca="false">SUM(M44:M48)</f>
        <v>133.333333333333</v>
      </c>
      <c r="N50" s="23" t="n">
        <f aca="false">SUM(N44:N48)</f>
        <v>133.333333333333</v>
      </c>
      <c r="O50" s="23" t="n">
        <f aca="false">SUM(O44:O48)</f>
        <v>133.333333333333</v>
      </c>
      <c r="P50" s="23" t="n">
        <f aca="false">SUM(P44:P48)</f>
        <v>133.333333333333</v>
      </c>
      <c r="Q50" s="23" t="n">
        <f aca="false">SUM(Q44:Q48)</f>
        <v>133.333333333333</v>
      </c>
      <c r="R50" s="23" t="n">
        <f aca="false">SUM(R44:R48)</f>
        <v>133.333333333333</v>
      </c>
      <c r="S50" s="23" t="n">
        <f aca="false">SUM(S44:S48)</f>
        <v>133.333333333333</v>
      </c>
      <c r="T50" s="23" t="n">
        <f aca="false">SUM(T44:T48)</f>
        <v>133.333333333333</v>
      </c>
      <c r="U50" s="23" t="n">
        <f aca="false">SUM(U44:U48)</f>
        <v>133.333333333333</v>
      </c>
      <c r="V50" s="23" t="n">
        <f aca="false">SUM(V44:V48)</f>
        <v>133.333333333333</v>
      </c>
      <c r="W50" s="23" t="n">
        <f aca="false">SUM(W44:W48)</f>
        <v>133.333333333333</v>
      </c>
      <c r="X50" s="23" t="n">
        <f aca="false">SUM(X44:X48)</f>
        <v>133.333333333333</v>
      </c>
      <c r="Y50" s="23" t="n">
        <f aca="false">SUM(Y44:Y48)</f>
        <v>133.333333333333</v>
      </c>
      <c r="Z50" s="23" t="n">
        <f aca="false">SUM(Z44:Z48)</f>
        <v>133.333333333333</v>
      </c>
      <c r="AA50" s="23" t="n">
        <f aca="false">SUM(AA44:AA48)</f>
        <v>133.333333333333</v>
      </c>
      <c r="AB50" s="23" t="n">
        <f aca="false">SUM(AB44:AB48)</f>
        <v>133.333333333333</v>
      </c>
      <c r="AC50" s="23" t="n">
        <f aca="false">SUM(AC44:AC48)</f>
        <v>133.333333333333</v>
      </c>
      <c r="AD50" s="23" t="n">
        <f aca="false">SUM(AD44:AD48)</f>
        <v>133.333333333333</v>
      </c>
      <c r="AE50" s="23" t="n">
        <f aca="false">SUM(AE44:AE48)</f>
        <v>133.333333333333</v>
      </c>
      <c r="AF50" s="23" t="n">
        <f aca="false">SUM(AF44:AF48)</f>
        <v>133.333333333333</v>
      </c>
      <c r="AG50" s="23" t="n">
        <f aca="false">SUM(AG44:AG48)</f>
        <v>133.333333333333</v>
      </c>
      <c r="AH50" s="23" t="n">
        <f aca="false">SUM(AH44:AH48)</f>
        <v>133.333333333333</v>
      </c>
      <c r="AI50" s="23" t="n">
        <f aca="false">SUM(AI44:AI48)</f>
        <v>133.333333333333</v>
      </c>
      <c r="AJ50" s="23" t="n">
        <f aca="false">SUM(AJ44:AJ48)</f>
        <v>133.333333333333</v>
      </c>
      <c r="AK50" s="23" t="n">
        <f aca="false">SUM(AK44:AK48)</f>
        <v>133.333333333333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7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8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9"/>
    <col collapsed="false" customWidth="true" hidden="false" outlineLevel="0" max="28" min="24" style="0" width="10"/>
    <col collapsed="false" customWidth="true" hidden="false" outlineLevel="0" max="29" min="29" style="0" width="7"/>
  </cols>
  <sheetData>
    <row r="1" customFormat="false" ht="19.7" hidden="false" customHeight="false" outlineLevel="0" collapsed="false">
      <c r="A1" s="1" t="s">
        <v>234</v>
      </c>
    </row>
    <row r="2" customFormat="false" ht="15" hidden="false" customHeight="false" outlineLevel="0" collapsed="false">
      <c r="A2" s="2" t="s">
        <v>235</v>
      </c>
    </row>
    <row r="4" customFormat="false" ht="15" hidden="false" customHeight="false" outlineLevel="0" collapsed="false">
      <c r="A4" s="3" t="s">
        <v>236</v>
      </c>
      <c r="B4" s="5"/>
      <c r="C4" s="5"/>
      <c r="D4" s="5"/>
      <c r="E4" s="5"/>
      <c r="F4" s="5"/>
    </row>
    <row r="5" customFormat="false" ht="99.95" hidden="false" customHeight="false" outlineLevel="0" collapsed="false">
      <c r="A5" s="6" t="s">
        <v>237</v>
      </c>
      <c r="B5" s="9" t="n">
        <v>1</v>
      </c>
      <c r="C5" s="24" t="s">
        <v>238</v>
      </c>
    </row>
    <row r="6" customFormat="false" ht="28.35" hidden="false" customHeight="false" outlineLevel="0" collapsed="false">
      <c r="A6" s="6" t="s">
        <v>239</v>
      </c>
      <c r="B6" s="11" t="n">
        <v>1</v>
      </c>
      <c r="C6" s="24" t="s">
        <v>240</v>
      </c>
    </row>
    <row r="7" customFormat="false" ht="46.25" hidden="false" customHeight="false" outlineLevel="0" collapsed="false">
      <c r="A7" s="6" t="s">
        <v>241</v>
      </c>
      <c r="B7" s="16" t="n">
        <v>0.1</v>
      </c>
      <c r="C7" s="24" t="s">
        <v>242</v>
      </c>
    </row>
    <row r="8" customFormat="false" ht="15" hidden="false" customHeight="false" outlineLevel="0" collapsed="false">
      <c r="A8" s="6" t="s">
        <v>243</v>
      </c>
      <c r="B8" s="16" t="n">
        <v>0.15</v>
      </c>
      <c r="C8" s="24"/>
    </row>
    <row r="9" customFormat="false" ht="15" hidden="false" customHeight="false" outlineLevel="0" collapsed="false">
      <c r="A9" s="6" t="s">
        <v>244</v>
      </c>
      <c r="B9" s="16" t="n">
        <v>0.2</v>
      </c>
      <c r="C9" s="24"/>
    </row>
    <row r="11" customFormat="false" ht="15" hidden="false" customHeight="false" outlineLevel="0" collapsed="false">
      <c r="A11" s="3" t="s">
        <v>245</v>
      </c>
      <c r="B11" s="5"/>
      <c r="C11" s="5"/>
      <c r="D11" s="5"/>
      <c r="E11" s="5"/>
      <c r="F11" s="5"/>
    </row>
    <row r="12" customFormat="false" ht="15" hidden="false" customHeight="false" outlineLevel="0" collapsed="false">
      <c r="A12" s="20" t="s">
        <v>246</v>
      </c>
      <c r="B12" s="20" t="s">
        <v>247</v>
      </c>
      <c r="C12" s="2" t="s">
        <v>248</v>
      </c>
    </row>
    <row r="13" customFormat="false" ht="15" hidden="false" customHeight="false" outlineLevel="0" collapsed="false">
      <c r="A13" s="6" t="s">
        <v>157</v>
      </c>
      <c r="B13" s="16" t="n">
        <v>0.7</v>
      </c>
    </row>
    <row r="14" customFormat="false" ht="15" hidden="false" customHeight="false" outlineLevel="0" collapsed="false">
      <c r="A14" s="6" t="s">
        <v>162</v>
      </c>
      <c r="B14" s="16" t="n">
        <v>0.7</v>
      </c>
    </row>
    <row r="15" customFormat="false" ht="15" hidden="false" customHeight="false" outlineLevel="0" collapsed="false">
      <c r="A15" s="6" t="s">
        <v>167</v>
      </c>
      <c r="B15" s="16" t="n">
        <v>0.7</v>
      </c>
    </row>
    <row r="16" customFormat="false" ht="15" hidden="false" customHeight="false" outlineLevel="0" collapsed="false">
      <c r="A16" s="6" t="s">
        <v>172</v>
      </c>
      <c r="B16" s="16" t="n">
        <v>0.7</v>
      </c>
    </row>
    <row r="17" customFormat="false" ht="15" hidden="false" customHeight="false" outlineLevel="0" collapsed="false">
      <c r="A17" s="6" t="s">
        <v>177</v>
      </c>
      <c r="B17" s="16" t="n">
        <v>0.6</v>
      </c>
    </row>
    <row r="18" customFormat="false" ht="15" hidden="false" customHeight="false" outlineLevel="0" collapsed="false">
      <c r="A18" s="6" t="s">
        <v>182</v>
      </c>
      <c r="B18" s="16" t="n">
        <v>0.7</v>
      </c>
    </row>
    <row r="19" customFormat="false" ht="15" hidden="false" customHeight="false" outlineLevel="0" collapsed="false">
      <c r="A19" s="6" t="s">
        <v>187</v>
      </c>
      <c r="B19" s="16" t="n">
        <v>0.65</v>
      </c>
    </row>
    <row r="20" customFormat="false" ht="15" hidden="false" customHeight="false" outlineLevel="0" collapsed="false">
      <c r="A20" s="6" t="s">
        <v>191</v>
      </c>
      <c r="B20" s="16" t="n">
        <v>0.7</v>
      </c>
    </row>
    <row r="21" customFormat="false" ht="15" hidden="false" customHeight="false" outlineLevel="0" collapsed="false">
      <c r="A21" s="6" t="s">
        <v>196</v>
      </c>
      <c r="B21" s="16" t="n">
        <v>0.65</v>
      </c>
    </row>
    <row r="22" customFormat="false" ht="15" hidden="false" customHeight="false" outlineLevel="0" collapsed="false">
      <c r="A22" s="6" t="s">
        <v>200</v>
      </c>
      <c r="B22" s="16" t="n">
        <v>0.7</v>
      </c>
    </row>
    <row r="23" customFormat="false" ht="15" hidden="false" customHeight="false" outlineLevel="0" collapsed="false">
      <c r="A23" s="6" t="s">
        <v>205</v>
      </c>
      <c r="B23" s="16" t="n">
        <v>0.7</v>
      </c>
    </row>
    <row r="24" customFormat="false" ht="15" hidden="false" customHeight="false" outlineLevel="0" collapsed="false">
      <c r="A24" s="6" t="s">
        <v>210</v>
      </c>
      <c r="B24" s="16" t="n">
        <v>0.55</v>
      </c>
    </row>
    <row r="25" customFormat="false" ht="15" hidden="false" customHeight="false" outlineLevel="0" collapsed="false">
      <c r="A25" s="6" t="s">
        <v>215</v>
      </c>
      <c r="B25" s="16" t="n">
        <v>0.65</v>
      </c>
    </row>
    <row r="28" customFormat="false" ht="39.55" hidden="false" customHeight="false" outlineLevel="0" collapsed="false">
      <c r="A28" s="17" t="s">
        <v>249</v>
      </c>
      <c r="B28" s="17" t="s">
        <v>250</v>
      </c>
      <c r="C28" s="17" t="s">
        <v>251</v>
      </c>
      <c r="D28" s="17" t="s">
        <v>252</v>
      </c>
      <c r="E28" s="17" t="s">
        <v>253</v>
      </c>
      <c r="F28" s="17" t="s">
        <v>254</v>
      </c>
      <c r="G28" s="17" t="s">
        <v>255</v>
      </c>
      <c r="H28" s="17" t="s">
        <v>256</v>
      </c>
      <c r="I28" s="17" t="s">
        <v>257</v>
      </c>
      <c r="J28" s="17" t="s">
        <v>258</v>
      </c>
      <c r="K28" s="17" t="s">
        <v>259</v>
      </c>
      <c r="L28" s="17" t="s">
        <v>260</v>
      </c>
      <c r="M28" s="17" t="s">
        <v>261</v>
      </c>
      <c r="N28" s="17" t="s">
        <v>262</v>
      </c>
      <c r="O28" s="17" t="s">
        <v>263</v>
      </c>
      <c r="P28" s="17" t="s">
        <v>264</v>
      </c>
      <c r="Q28" s="17" t="s">
        <v>265</v>
      </c>
      <c r="R28" s="17" t="s">
        <v>266</v>
      </c>
      <c r="S28" s="17" t="s">
        <v>267</v>
      </c>
      <c r="T28" s="17" t="s">
        <v>268</v>
      </c>
      <c r="U28" s="17" t="s">
        <v>269</v>
      </c>
      <c r="V28" s="17" t="s">
        <v>270</v>
      </c>
      <c r="W28" s="17" t="s">
        <v>271</v>
      </c>
      <c r="X28" s="17" t="s">
        <v>272</v>
      </c>
      <c r="Y28" s="17" t="s">
        <v>273</v>
      </c>
      <c r="Z28" s="17" t="s">
        <v>274</v>
      </c>
      <c r="AA28" s="17" t="s">
        <v>275</v>
      </c>
      <c r="AB28" s="17" t="s">
        <v>276</v>
      </c>
      <c r="AC28" s="17" t="s">
        <v>277</v>
      </c>
    </row>
    <row r="29" customFormat="false" ht="15" hidden="false" customHeight="false" outlineLevel="0" collapsed="false">
      <c r="A29" s="6" t="s">
        <v>278</v>
      </c>
      <c r="B29" s="6" t="s">
        <v>279</v>
      </c>
      <c r="C29" s="2" t="s">
        <v>280</v>
      </c>
      <c r="D29" s="2" t="s">
        <v>281</v>
      </c>
      <c r="E29" s="2" t="s">
        <v>157</v>
      </c>
      <c r="F29" s="25" t="n">
        <v>20</v>
      </c>
      <c r="G29" s="25" t="n">
        <v>20</v>
      </c>
      <c r="H29" s="26" t="n">
        <v>0.2</v>
      </c>
      <c r="I29" s="18" t="n">
        <v>35</v>
      </c>
      <c r="J29" s="18" t="n">
        <f aca="false">I29/(1+H29*$B$5)</f>
        <v>29.1666666666667</v>
      </c>
      <c r="K29" s="27" t="n">
        <v>1.5</v>
      </c>
      <c r="L29" s="18" t="n">
        <f aca="false">G29/60*Machinery!$H$5*Assumptions!$B$23/100</f>
        <v>0.09</v>
      </c>
      <c r="M29" s="18" t="n">
        <f aca="false">G29/60*Machinery!$K$5</f>
        <v>0.2</v>
      </c>
      <c r="N29" s="18" t="n">
        <f aca="false">G29/60*Machinery!$L$5</f>
        <v>0.285714285714286</v>
      </c>
      <c r="O29" s="18" t="n">
        <f aca="false">F29/60*Assumptions!$B$20</f>
        <v>11.487922705314</v>
      </c>
      <c r="P29" s="18" t="n">
        <f aca="false">I29*Assumptions!$B$34*Assumptions!$B$35</f>
        <v>0.56525</v>
      </c>
      <c r="Q29" s="18" t="n">
        <f aca="false">SUM(K29:P29)</f>
        <v>14.1288869910283</v>
      </c>
      <c r="R29" s="18" t="n">
        <f aca="false">J29-Q29</f>
        <v>15.0377796756384</v>
      </c>
      <c r="S29" s="28" t="n">
        <f aca="false">IF(J29=0,0,R29/J29)</f>
        <v>0.515581017450459</v>
      </c>
      <c r="T29" s="26" t="n">
        <f aca="false">INDEX($B$13:$B$25,MATCH(E29,$A$13:$A$25,0))</f>
        <v>0.7</v>
      </c>
      <c r="U29" s="18" t="n">
        <f aca="false">SUM(K29:O29)/(1-T29-Assumptions!$B$34*Assumptions!$B$35*(1+H29*$B$5))</f>
        <v>48.334534213628</v>
      </c>
      <c r="V29" s="18" t="n">
        <f aca="false">MROUND(U29*(1+H29*$B$5),$B$6)</f>
        <v>58</v>
      </c>
      <c r="W29" s="26" t="n">
        <f aca="false">IF(I29=0,0,V29/I29-1)</f>
        <v>0.657142857142857</v>
      </c>
      <c r="X29" s="29" t="n">
        <f aca="false">MROUND(V29*3*(1-$B$7),$B$6)</f>
        <v>157</v>
      </c>
      <c r="Y29" s="29" t="n">
        <f aca="false">MROUND(V29*6*(1-$B$8),$B$6)</f>
        <v>296</v>
      </c>
      <c r="Z29" s="29" t="n">
        <f aca="false">MROUND(V29*10*(1-$B$9),$B$6)</f>
        <v>464</v>
      </c>
      <c r="AC29" s="25" t="n">
        <f aca="false">IF(OR(D29="ACTIVE",D29="CONSULTATION"),1,0)</f>
        <v>1</v>
      </c>
    </row>
    <row r="30" customFormat="false" ht="15" hidden="false" customHeight="false" outlineLevel="0" collapsed="false">
      <c r="A30" s="6" t="s">
        <v>278</v>
      </c>
      <c r="B30" s="6" t="s">
        <v>282</v>
      </c>
      <c r="C30" s="2" t="s">
        <v>280</v>
      </c>
      <c r="D30" s="2" t="s">
        <v>281</v>
      </c>
      <c r="E30" s="2" t="s">
        <v>157</v>
      </c>
      <c r="F30" s="25" t="n">
        <v>20</v>
      </c>
      <c r="G30" s="25" t="n">
        <v>20</v>
      </c>
      <c r="H30" s="26" t="n">
        <v>0.2</v>
      </c>
      <c r="I30" s="18" t="n">
        <v>43</v>
      </c>
      <c r="J30" s="18" t="n">
        <f aca="false">I30/(1+H30*$B$5)</f>
        <v>35.8333333333333</v>
      </c>
      <c r="K30" s="27" t="n">
        <v>1.5</v>
      </c>
      <c r="L30" s="18" t="n">
        <f aca="false">G30/60*Machinery!$H$5*Assumptions!$B$23/100</f>
        <v>0.09</v>
      </c>
      <c r="M30" s="18" t="n">
        <f aca="false">G30/60*Machinery!$K$5</f>
        <v>0.2</v>
      </c>
      <c r="N30" s="18" t="n">
        <f aca="false">G30/60*Machinery!$L$5</f>
        <v>0.285714285714286</v>
      </c>
      <c r="O30" s="18" t="n">
        <f aca="false">F30/60*Assumptions!$B$20</f>
        <v>11.487922705314</v>
      </c>
      <c r="P30" s="18" t="n">
        <f aca="false">I30*Assumptions!$B$34*Assumptions!$B$35</f>
        <v>0.69445</v>
      </c>
      <c r="Q30" s="18" t="n">
        <f aca="false">SUM(K30:P30)</f>
        <v>14.2580869910283</v>
      </c>
      <c r="R30" s="18" t="n">
        <f aca="false">J30-Q30</f>
        <v>21.575246342305</v>
      </c>
      <c r="S30" s="28" t="n">
        <f aca="false">IF(J30=0,0,R30/J30)</f>
        <v>0.602099897924792</v>
      </c>
      <c r="T30" s="26" t="n">
        <f aca="false">INDEX($B$13:$B$25,MATCH(E30,$A$13:$A$25,0))</f>
        <v>0.7</v>
      </c>
      <c r="U30" s="18" t="n">
        <f aca="false">SUM(K30:O30)/(1-T30-Assumptions!$B$34*Assumptions!$B$35*(1+H30*$B$5))</f>
        <v>48.334534213628</v>
      </c>
      <c r="V30" s="18" t="n">
        <f aca="false">MROUND(U30*(1+H30*$B$5),$B$6)</f>
        <v>58</v>
      </c>
      <c r="W30" s="26" t="n">
        <f aca="false">IF(I30=0,0,V30/I30-1)</f>
        <v>0.348837209302326</v>
      </c>
      <c r="X30" s="29" t="n">
        <f aca="false">MROUND(V30*3*(1-$B$7),$B$6)</f>
        <v>157</v>
      </c>
      <c r="Y30" s="29" t="n">
        <f aca="false">MROUND(V30*6*(1-$B$8),$B$6)</f>
        <v>296</v>
      </c>
      <c r="Z30" s="29" t="n">
        <f aca="false">MROUND(V30*10*(1-$B$9),$B$6)</f>
        <v>464</v>
      </c>
      <c r="AC30" s="25" t="n">
        <f aca="false">IF(OR(D30="ACTIVE",D30="CONSULTATION"),1,0)</f>
        <v>1</v>
      </c>
    </row>
    <row r="31" customFormat="false" ht="15" hidden="false" customHeight="false" outlineLevel="0" collapsed="false">
      <c r="A31" s="6" t="s">
        <v>278</v>
      </c>
      <c r="B31" s="6" t="s">
        <v>283</v>
      </c>
      <c r="C31" s="2" t="s">
        <v>280</v>
      </c>
      <c r="D31" s="2" t="s">
        <v>281</v>
      </c>
      <c r="E31" s="2" t="s">
        <v>157</v>
      </c>
      <c r="F31" s="25" t="n">
        <v>30</v>
      </c>
      <c r="G31" s="25" t="n">
        <v>30</v>
      </c>
      <c r="H31" s="26" t="n">
        <v>0.2</v>
      </c>
      <c r="I31" s="18" t="n">
        <v>54</v>
      </c>
      <c r="J31" s="18" t="n">
        <f aca="false">I31/(1+H31*$B$5)</f>
        <v>45</v>
      </c>
      <c r="K31" s="27" t="n">
        <v>1.5</v>
      </c>
      <c r="L31" s="18" t="n">
        <f aca="false">G31/60*Machinery!$H$5*Assumptions!$B$23/100</f>
        <v>0.135</v>
      </c>
      <c r="M31" s="18" t="n">
        <f aca="false">G31/60*Machinery!$K$5</f>
        <v>0.3</v>
      </c>
      <c r="N31" s="18" t="n">
        <f aca="false">G31/60*Machinery!$L$5</f>
        <v>0.428571428571429</v>
      </c>
      <c r="O31" s="18" t="n">
        <f aca="false">F31/60*Assumptions!$B$20</f>
        <v>17.231884057971</v>
      </c>
      <c r="P31" s="18" t="n">
        <f aca="false">I31*Assumptions!$B$34*Assumptions!$B$35</f>
        <v>0.8721</v>
      </c>
      <c r="Q31" s="18" t="n">
        <f aca="false">SUM(K31:P31)</f>
        <v>20.4675554865424</v>
      </c>
      <c r="R31" s="18" t="n">
        <f aca="false">J31-Q31</f>
        <v>24.5324445134576</v>
      </c>
      <c r="S31" s="28" t="n">
        <f aca="false">IF(J31=0,0,R31/J31)</f>
        <v>0.54516543363239</v>
      </c>
      <c r="T31" s="26" t="n">
        <f aca="false">INDEX($B$13:$B$25,MATCH(E31,$A$13:$A$25,0))</f>
        <v>0.7</v>
      </c>
      <c r="U31" s="18" t="n">
        <f aca="false">SUM(K31:O31)/(1-T31-Assumptions!$B$34*Assumptions!$B$35*(1+H31*$B$5))</f>
        <v>69.8291479101363</v>
      </c>
      <c r="V31" s="18" t="n">
        <f aca="false">MROUND(U31*(1+H31*$B$5),$B$6)</f>
        <v>84</v>
      </c>
      <c r="W31" s="26" t="n">
        <f aca="false">IF(I31=0,0,V31/I31-1)</f>
        <v>0.555555555555556</v>
      </c>
      <c r="X31" s="29" t="n">
        <f aca="false">MROUND(V31*3*(1-$B$7),$B$6)</f>
        <v>227</v>
      </c>
      <c r="Y31" s="29" t="n">
        <f aca="false">MROUND(V31*6*(1-$B$8),$B$6)</f>
        <v>428</v>
      </c>
      <c r="Z31" s="29" t="n">
        <f aca="false">MROUND(V31*10*(1-$B$9),$B$6)</f>
        <v>672</v>
      </c>
      <c r="AC31" s="25" t="n">
        <f aca="false">IF(OR(D31="ACTIVE",D31="CONSULTATION"),1,0)</f>
        <v>1</v>
      </c>
    </row>
    <row r="32" customFormat="false" ht="15" hidden="false" customHeight="false" outlineLevel="0" collapsed="false">
      <c r="A32" s="6" t="s">
        <v>278</v>
      </c>
      <c r="B32" s="6" t="s">
        <v>284</v>
      </c>
      <c r="C32" s="2" t="s">
        <v>280</v>
      </c>
      <c r="D32" s="2" t="s">
        <v>281</v>
      </c>
      <c r="E32" s="2" t="s">
        <v>157</v>
      </c>
      <c r="F32" s="25" t="n">
        <v>20</v>
      </c>
      <c r="G32" s="25" t="n">
        <v>20</v>
      </c>
      <c r="H32" s="26" t="n">
        <v>0.2</v>
      </c>
      <c r="I32" s="18" t="n">
        <v>26</v>
      </c>
      <c r="J32" s="18" t="n">
        <f aca="false">I32/(1+H32*$B$5)</f>
        <v>21.6666666666667</v>
      </c>
      <c r="K32" s="27" t="n">
        <v>1.5</v>
      </c>
      <c r="L32" s="18" t="n">
        <f aca="false">G32/60*Machinery!$H$5*Assumptions!$B$23/100</f>
        <v>0.09</v>
      </c>
      <c r="M32" s="18" t="n">
        <f aca="false">G32/60*Machinery!$K$5</f>
        <v>0.2</v>
      </c>
      <c r="N32" s="18" t="n">
        <f aca="false">G32/60*Machinery!$L$5</f>
        <v>0.285714285714286</v>
      </c>
      <c r="O32" s="18" t="n">
        <f aca="false">F32/60*Assumptions!$B$20</f>
        <v>11.487922705314</v>
      </c>
      <c r="P32" s="18" t="n">
        <f aca="false">I32*Assumptions!$B$34*Assumptions!$B$35</f>
        <v>0.4199</v>
      </c>
      <c r="Q32" s="18" t="n">
        <f aca="false">SUM(K32:P32)</f>
        <v>13.9835369910283</v>
      </c>
      <c r="R32" s="18" t="n">
        <f aca="false">J32-Q32</f>
        <v>7.68312967563837</v>
      </c>
      <c r="S32" s="28" t="n">
        <f aca="false">IF(J32=0,0,R32/J32)</f>
        <v>0.354605985029463</v>
      </c>
      <c r="T32" s="26" t="n">
        <f aca="false">INDEX($B$13:$B$25,MATCH(E32,$A$13:$A$25,0))</f>
        <v>0.7</v>
      </c>
      <c r="U32" s="18" t="n">
        <f aca="false">SUM(K32:O32)/(1-T32-Assumptions!$B$34*Assumptions!$B$35*(1+H32*$B$5))</f>
        <v>48.334534213628</v>
      </c>
      <c r="V32" s="18" t="n">
        <f aca="false">MROUND(U32*(1+H32*$B$5),$B$6)</f>
        <v>58</v>
      </c>
      <c r="W32" s="26" t="n">
        <f aca="false">IF(I32=0,0,V32/I32-1)</f>
        <v>1.23076923076923</v>
      </c>
      <c r="X32" s="29" t="n">
        <f aca="false">MROUND(V32*3*(1-$B$7),$B$6)</f>
        <v>157</v>
      </c>
      <c r="Y32" s="29" t="n">
        <f aca="false">MROUND(V32*6*(1-$B$8),$B$6)</f>
        <v>296</v>
      </c>
      <c r="Z32" s="29" t="n">
        <f aca="false">MROUND(V32*10*(1-$B$9),$B$6)</f>
        <v>464</v>
      </c>
      <c r="AC32" s="25" t="n">
        <f aca="false">IF(OR(D32="ACTIVE",D32="CONSULTATION"),1,0)</f>
        <v>1</v>
      </c>
    </row>
    <row r="33" customFormat="false" ht="15" hidden="false" customHeight="false" outlineLevel="0" collapsed="false">
      <c r="A33" s="6" t="s">
        <v>278</v>
      </c>
      <c r="B33" s="6" t="s">
        <v>285</v>
      </c>
      <c r="C33" s="2" t="s">
        <v>280</v>
      </c>
      <c r="D33" s="2" t="s">
        <v>281</v>
      </c>
      <c r="E33" s="2" t="s">
        <v>157</v>
      </c>
      <c r="F33" s="25" t="n">
        <v>30</v>
      </c>
      <c r="G33" s="25" t="n">
        <v>30</v>
      </c>
      <c r="H33" s="26" t="n">
        <v>0.2</v>
      </c>
      <c r="I33" s="18" t="n">
        <v>60</v>
      </c>
      <c r="J33" s="18" t="n">
        <f aca="false">I33/(1+H33*$B$5)</f>
        <v>50</v>
      </c>
      <c r="K33" s="27" t="n">
        <v>1.5</v>
      </c>
      <c r="L33" s="18" t="n">
        <f aca="false">G33/60*Machinery!$H$5*Assumptions!$B$23/100</f>
        <v>0.135</v>
      </c>
      <c r="M33" s="18" t="n">
        <f aca="false">G33/60*Machinery!$K$5</f>
        <v>0.3</v>
      </c>
      <c r="N33" s="18" t="n">
        <f aca="false">G33/60*Machinery!$L$5</f>
        <v>0.428571428571429</v>
      </c>
      <c r="O33" s="18" t="n">
        <f aca="false">F33/60*Assumptions!$B$20</f>
        <v>17.231884057971</v>
      </c>
      <c r="P33" s="18" t="n">
        <f aca="false">I33*Assumptions!$B$34*Assumptions!$B$35</f>
        <v>0.969</v>
      </c>
      <c r="Q33" s="18" t="n">
        <f aca="false">SUM(K33:P33)</f>
        <v>20.5644554865424</v>
      </c>
      <c r="R33" s="18" t="n">
        <f aca="false">J33-Q33</f>
        <v>29.4355445134576</v>
      </c>
      <c r="S33" s="28" t="n">
        <f aca="false">IF(J33=0,0,R33/J33)</f>
        <v>0.588710890269151</v>
      </c>
      <c r="T33" s="26" t="n">
        <f aca="false">INDEX($B$13:$B$25,MATCH(E33,$A$13:$A$25,0))</f>
        <v>0.7</v>
      </c>
      <c r="U33" s="18" t="n">
        <f aca="false">SUM(K33:O33)/(1-T33-Assumptions!$B$34*Assumptions!$B$35*(1+H33*$B$5))</f>
        <v>69.8291479101363</v>
      </c>
      <c r="V33" s="18" t="n">
        <f aca="false">MROUND(U33*(1+H33*$B$5),$B$6)</f>
        <v>84</v>
      </c>
      <c r="W33" s="26" t="n">
        <f aca="false">IF(I33=0,0,V33/I33-1)</f>
        <v>0.4</v>
      </c>
      <c r="X33" s="29" t="n">
        <f aca="false">MROUND(V33*3*(1-$B$7),$B$6)</f>
        <v>227</v>
      </c>
      <c r="Y33" s="29" t="n">
        <f aca="false">MROUND(V33*6*(1-$B$8),$B$6)</f>
        <v>428</v>
      </c>
      <c r="Z33" s="29" t="n">
        <f aca="false">MROUND(V33*10*(1-$B$9),$B$6)</f>
        <v>672</v>
      </c>
      <c r="AC33" s="25" t="n">
        <f aca="false">IF(OR(D33="ACTIVE",D33="CONSULTATION"),1,0)</f>
        <v>1</v>
      </c>
    </row>
    <row r="34" customFormat="false" ht="15" hidden="false" customHeight="false" outlineLevel="0" collapsed="false">
      <c r="A34" s="6" t="s">
        <v>278</v>
      </c>
      <c r="B34" s="6" t="s">
        <v>286</v>
      </c>
      <c r="C34" s="2" t="s">
        <v>280</v>
      </c>
      <c r="D34" s="2" t="s">
        <v>281</v>
      </c>
      <c r="E34" s="2" t="s">
        <v>157</v>
      </c>
      <c r="F34" s="25" t="n">
        <v>30</v>
      </c>
      <c r="G34" s="25" t="n">
        <v>30</v>
      </c>
      <c r="H34" s="26" t="n">
        <v>0.2</v>
      </c>
      <c r="I34" s="18" t="n">
        <v>64</v>
      </c>
      <c r="J34" s="18" t="n">
        <f aca="false">I34/(1+H34*$B$5)</f>
        <v>53.3333333333333</v>
      </c>
      <c r="K34" s="27" t="n">
        <v>1.5</v>
      </c>
      <c r="L34" s="18" t="n">
        <f aca="false">G34/60*Machinery!$H$5*Assumptions!$B$23/100</f>
        <v>0.135</v>
      </c>
      <c r="M34" s="18" t="n">
        <f aca="false">G34/60*Machinery!$K$5</f>
        <v>0.3</v>
      </c>
      <c r="N34" s="18" t="n">
        <f aca="false">G34/60*Machinery!$L$5</f>
        <v>0.428571428571429</v>
      </c>
      <c r="O34" s="18" t="n">
        <f aca="false">F34/60*Assumptions!$B$20</f>
        <v>17.231884057971</v>
      </c>
      <c r="P34" s="18" t="n">
        <f aca="false">I34*Assumptions!$B$34*Assumptions!$B$35</f>
        <v>1.0336</v>
      </c>
      <c r="Q34" s="18" t="n">
        <f aca="false">SUM(K34:P34)</f>
        <v>20.6290554865424</v>
      </c>
      <c r="R34" s="18" t="n">
        <f aca="false">J34-Q34</f>
        <v>32.7042778467909</v>
      </c>
      <c r="S34" s="28" t="n">
        <f aca="false">IF(J34=0,0,R34/J34)</f>
        <v>0.613205209627329</v>
      </c>
      <c r="T34" s="26" t="n">
        <f aca="false">INDEX($B$13:$B$25,MATCH(E34,$A$13:$A$25,0))</f>
        <v>0.7</v>
      </c>
      <c r="U34" s="18" t="n">
        <f aca="false">SUM(K34:O34)/(1-T34-Assumptions!$B$34*Assumptions!$B$35*(1+H34*$B$5))</f>
        <v>69.8291479101363</v>
      </c>
      <c r="V34" s="18" t="n">
        <f aca="false">MROUND(U34*(1+H34*$B$5),$B$6)</f>
        <v>84</v>
      </c>
      <c r="W34" s="26" t="n">
        <f aca="false">IF(I34=0,0,V34/I34-1)</f>
        <v>0.3125</v>
      </c>
      <c r="X34" s="29" t="n">
        <f aca="false">MROUND(V34*3*(1-$B$7),$B$6)</f>
        <v>227</v>
      </c>
      <c r="Y34" s="29" t="n">
        <f aca="false">MROUND(V34*6*(1-$B$8),$B$6)</f>
        <v>428</v>
      </c>
      <c r="Z34" s="29" t="n">
        <f aca="false">MROUND(V34*10*(1-$B$9),$B$6)</f>
        <v>672</v>
      </c>
      <c r="AC34" s="25" t="n">
        <f aca="false">IF(OR(D34="ACTIVE",D34="CONSULTATION"),1,0)</f>
        <v>1</v>
      </c>
    </row>
    <row r="35" customFormat="false" ht="15" hidden="false" customHeight="false" outlineLevel="0" collapsed="false">
      <c r="A35" s="6" t="s">
        <v>278</v>
      </c>
      <c r="B35" s="6" t="s">
        <v>287</v>
      </c>
      <c r="C35" s="2" t="s">
        <v>280</v>
      </c>
      <c r="D35" s="2" t="s">
        <v>281</v>
      </c>
      <c r="E35" s="2" t="s">
        <v>157</v>
      </c>
      <c r="F35" s="25" t="n">
        <v>40</v>
      </c>
      <c r="G35" s="25" t="n">
        <v>40</v>
      </c>
      <c r="H35" s="26" t="n">
        <v>0.2</v>
      </c>
      <c r="I35" s="18" t="n">
        <v>119</v>
      </c>
      <c r="J35" s="18" t="n">
        <f aca="false">I35/(1+H35*$B$5)</f>
        <v>99.1666666666667</v>
      </c>
      <c r="K35" s="27" t="n">
        <v>2</v>
      </c>
      <c r="L35" s="18" t="n">
        <f aca="false">G35/60*Machinery!$H$5*Assumptions!$B$23/100</f>
        <v>0.18</v>
      </c>
      <c r="M35" s="18" t="n">
        <f aca="false">G35/60*Machinery!$K$5</f>
        <v>0.4</v>
      </c>
      <c r="N35" s="18" t="n">
        <f aca="false">G35/60*Machinery!$L$5</f>
        <v>0.571428571428571</v>
      </c>
      <c r="O35" s="18" t="n">
        <f aca="false">F35/60*Assumptions!$B$20</f>
        <v>22.975845410628</v>
      </c>
      <c r="P35" s="18" t="n">
        <f aca="false">I35*Assumptions!$B$34*Assumptions!$B$35</f>
        <v>1.92185</v>
      </c>
      <c r="Q35" s="18" t="n">
        <f aca="false">SUM(K35:P35)</f>
        <v>28.0491239820566</v>
      </c>
      <c r="R35" s="18" t="n">
        <f aca="false">J35-Q35</f>
        <v>71.1175426846101</v>
      </c>
      <c r="S35" s="28" t="n">
        <f aca="false">IF(J35=0,0,R35/J35)</f>
        <v>0.717151690937245</v>
      </c>
      <c r="T35" s="26" t="n">
        <f aca="false">INDEX($B$13:$B$25,MATCH(E35,$A$13:$A$25,0))</f>
        <v>0.7</v>
      </c>
      <c r="U35" s="18" t="n">
        <f aca="false">SUM(K35:O35)/(1-T35-Assumptions!$B$34*Assumptions!$B$35*(1+H35*$B$5))</f>
        <v>93.1055305468484</v>
      </c>
      <c r="V35" s="18" t="n">
        <f aca="false">MROUND(U35*(1+H35*$B$5),$B$6)</f>
        <v>112</v>
      </c>
      <c r="W35" s="26" t="n">
        <f aca="false">IF(I35=0,0,V35/I35-1)</f>
        <v>-0.0588235294117647</v>
      </c>
      <c r="X35" s="29" t="n">
        <f aca="false">MROUND(V35*3*(1-$B$7),$B$6)</f>
        <v>302</v>
      </c>
      <c r="Y35" s="29" t="n">
        <f aca="false">MROUND(V35*6*(1-$B$8),$B$6)</f>
        <v>571</v>
      </c>
      <c r="Z35" s="29" t="n">
        <f aca="false">MROUND(V35*10*(1-$B$9),$B$6)</f>
        <v>896</v>
      </c>
      <c r="AC35" s="25" t="n">
        <f aca="false">IF(OR(D35="ACTIVE",D35="CONSULTATION"),1,0)</f>
        <v>1</v>
      </c>
    </row>
    <row r="36" customFormat="false" ht="15" hidden="false" customHeight="false" outlineLevel="0" collapsed="false">
      <c r="A36" s="6" t="s">
        <v>278</v>
      </c>
      <c r="B36" s="6" t="s">
        <v>288</v>
      </c>
      <c r="C36" s="2" t="s">
        <v>280</v>
      </c>
      <c r="D36" s="2" t="s">
        <v>281</v>
      </c>
      <c r="E36" s="2" t="s">
        <v>157</v>
      </c>
      <c r="F36" s="25" t="n">
        <v>30</v>
      </c>
      <c r="G36" s="25" t="n">
        <v>30</v>
      </c>
      <c r="H36" s="26" t="n">
        <v>0.2</v>
      </c>
      <c r="I36" s="18" t="n">
        <v>115</v>
      </c>
      <c r="J36" s="18" t="n">
        <f aca="false">I36/(1+H36*$B$5)</f>
        <v>95.8333333333333</v>
      </c>
      <c r="K36" s="27" t="n">
        <v>2</v>
      </c>
      <c r="L36" s="18" t="n">
        <f aca="false">G36/60*Machinery!$H$5*Assumptions!$B$23/100</f>
        <v>0.135</v>
      </c>
      <c r="M36" s="18" t="n">
        <f aca="false">G36/60*Machinery!$K$5</f>
        <v>0.3</v>
      </c>
      <c r="N36" s="18" t="n">
        <f aca="false">G36/60*Machinery!$L$5</f>
        <v>0.428571428571429</v>
      </c>
      <c r="O36" s="18" t="n">
        <f aca="false">F36/60*Assumptions!$B$20</f>
        <v>17.231884057971</v>
      </c>
      <c r="P36" s="18" t="n">
        <f aca="false">I36*Assumptions!$B$34*Assumptions!$B$35</f>
        <v>1.85725</v>
      </c>
      <c r="Q36" s="18" t="n">
        <f aca="false">SUM(K36:P36)</f>
        <v>21.9527054865424</v>
      </c>
      <c r="R36" s="18" t="n">
        <f aca="false">J36-Q36</f>
        <v>73.8806278467909</v>
      </c>
      <c r="S36" s="28" t="n">
        <f aca="false">IF(J36=0,0,R36/J36)</f>
        <v>0.770928290575209</v>
      </c>
      <c r="T36" s="26" t="n">
        <f aca="false">INDEX($B$13:$B$25,MATCH(E36,$A$13:$A$25,0))</f>
        <v>0.7</v>
      </c>
      <c r="U36" s="18" t="n">
        <f aca="false">SUM(K36:O36)/(1-T36-Assumptions!$B$34*Assumptions!$B$35*(1+H36*$B$5))</f>
        <v>71.6109168503401</v>
      </c>
      <c r="V36" s="18" t="n">
        <f aca="false">MROUND(U36*(1+H36*$B$5),$B$6)</f>
        <v>86</v>
      </c>
      <c r="W36" s="26" t="n">
        <f aca="false">IF(I36=0,0,V36/I36-1)</f>
        <v>-0.252173913043478</v>
      </c>
      <c r="X36" s="29" t="n">
        <f aca="false">MROUND(V36*3*(1-$B$7),$B$6)</f>
        <v>232</v>
      </c>
      <c r="Y36" s="29" t="n">
        <f aca="false">MROUND(V36*6*(1-$B$8),$B$6)</f>
        <v>439</v>
      </c>
      <c r="Z36" s="29" t="n">
        <f aca="false">MROUND(V36*10*(1-$B$9),$B$6)</f>
        <v>688</v>
      </c>
      <c r="AC36" s="25" t="n">
        <f aca="false">IF(OR(D36="ACTIVE",D36="CONSULTATION"),1,0)</f>
        <v>1</v>
      </c>
    </row>
    <row r="37" customFormat="false" ht="15" hidden="false" customHeight="false" outlineLevel="0" collapsed="false">
      <c r="A37" s="6" t="s">
        <v>278</v>
      </c>
      <c r="B37" s="6" t="s">
        <v>289</v>
      </c>
      <c r="C37" s="2" t="s">
        <v>280</v>
      </c>
      <c r="D37" s="2" t="s">
        <v>281</v>
      </c>
      <c r="E37" s="2" t="s">
        <v>157</v>
      </c>
      <c r="F37" s="25" t="n">
        <v>40</v>
      </c>
      <c r="G37" s="25" t="n">
        <v>40</v>
      </c>
      <c r="H37" s="26" t="n">
        <v>0.2</v>
      </c>
      <c r="I37" s="18" t="n">
        <v>95</v>
      </c>
      <c r="J37" s="18" t="n">
        <f aca="false">I37/(1+H37*$B$5)</f>
        <v>79.1666666666667</v>
      </c>
      <c r="K37" s="27" t="n">
        <v>2</v>
      </c>
      <c r="L37" s="18" t="n">
        <f aca="false">G37/60*Machinery!$H$5*Assumptions!$B$23/100</f>
        <v>0.18</v>
      </c>
      <c r="M37" s="18" t="n">
        <f aca="false">G37/60*Machinery!$K$5</f>
        <v>0.4</v>
      </c>
      <c r="N37" s="18" t="n">
        <f aca="false">G37/60*Machinery!$L$5</f>
        <v>0.571428571428571</v>
      </c>
      <c r="O37" s="18" t="n">
        <f aca="false">F37/60*Assumptions!$B$20</f>
        <v>22.975845410628</v>
      </c>
      <c r="P37" s="18" t="n">
        <f aca="false">I37*Assumptions!$B$34*Assumptions!$B$35</f>
        <v>1.53425</v>
      </c>
      <c r="Q37" s="18" t="n">
        <f aca="false">SUM(K37:P37)</f>
        <v>27.6615239820566</v>
      </c>
      <c r="R37" s="18" t="n">
        <f aca="false">J37-Q37</f>
        <v>51.5051426846101</v>
      </c>
      <c r="S37" s="28" t="n">
        <f aca="false">IF(J37=0,0,R37/J37)</f>
        <v>0.650591276016127</v>
      </c>
      <c r="T37" s="26" t="n">
        <f aca="false">INDEX($B$13:$B$25,MATCH(E37,$A$13:$A$25,0))</f>
        <v>0.7</v>
      </c>
      <c r="U37" s="18" t="n">
        <f aca="false">SUM(K37:O37)/(1-T37-Assumptions!$B$34*Assumptions!$B$35*(1+H37*$B$5))</f>
        <v>93.1055305468484</v>
      </c>
      <c r="V37" s="18" t="n">
        <f aca="false">MROUND(U37*(1+H37*$B$5),$B$6)</f>
        <v>112</v>
      </c>
      <c r="W37" s="26" t="n">
        <f aca="false">IF(I37=0,0,V37/I37-1)</f>
        <v>0.178947368421053</v>
      </c>
      <c r="X37" s="29" t="n">
        <f aca="false">MROUND(V37*3*(1-$B$7),$B$6)</f>
        <v>302</v>
      </c>
      <c r="Y37" s="29" t="n">
        <f aca="false">MROUND(V37*6*(1-$B$8),$B$6)</f>
        <v>571</v>
      </c>
      <c r="Z37" s="29" t="n">
        <f aca="false">MROUND(V37*10*(1-$B$9),$B$6)</f>
        <v>896</v>
      </c>
      <c r="AC37" s="25" t="n">
        <f aca="false">IF(OR(D37="ACTIVE",D37="CONSULTATION"),1,0)</f>
        <v>1</v>
      </c>
    </row>
    <row r="38" customFormat="false" ht="15" hidden="false" customHeight="false" outlineLevel="0" collapsed="false">
      <c r="A38" s="6" t="s">
        <v>278</v>
      </c>
      <c r="B38" s="6" t="s">
        <v>290</v>
      </c>
      <c r="C38" s="2" t="s">
        <v>280</v>
      </c>
      <c r="D38" s="2" t="s">
        <v>281</v>
      </c>
      <c r="E38" s="2" t="s">
        <v>157</v>
      </c>
      <c r="F38" s="25" t="n">
        <v>50</v>
      </c>
      <c r="G38" s="25" t="n">
        <v>50</v>
      </c>
      <c r="H38" s="26" t="n">
        <v>0.2</v>
      </c>
      <c r="I38" s="18" t="n">
        <v>121</v>
      </c>
      <c r="J38" s="18" t="n">
        <f aca="false">I38/(1+H38*$B$5)</f>
        <v>100.833333333333</v>
      </c>
      <c r="K38" s="27" t="n">
        <v>2</v>
      </c>
      <c r="L38" s="18" t="n">
        <f aca="false">G38/60*Machinery!$H$5*Assumptions!$B$23/100</f>
        <v>0.225</v>
      </c>
      <c r="M38" s="18" t="n">
        <f aca="false">G38/60*Machinery!$K$5</f>
        <v>0.5</v>
      </c>
      <c r="N38" s="18" t="n">
        <f aca="false">G38/60*Machinery!$L$5</f>
        <v>0.714285714285714</v>
      </c>
      <c r="O38" s="18" t="n">
        <f aca="false">F38/60*Assumptions!$B$20</f>
        <v>28.719806763285</v>
      </c>
      <c r="P38" s="18" t="n">
        <f aca="false">I38*Assumptions!$B$34*Assumptions!$B$35</f>
        <v>1.95415</v>
      </c>
      <c r="Q38" s="18" t="n">
        <f aca="false">SUM(K38:P38)</f>
        <v>34.1132424775707</v>
      </c>
      <c r="R38" s="18" t="n">
        <f aca="false">J38-Q38</f>
        <v>66.7200908557626</v>
      </c>
      <c r="S38" s="28" t="n">
        <f aca="false">IF(J38=0,0,R38/J38)</f>
        <v>0.661686851462109</v>
      </c>
      <c r="T38" s="26" t="n">
        <f aca="false">INDEX($B$13:$B$25,MATCH(E38,$A$13:$A$25,0))</f>
        <v>0.7</v>
      </c>
      <c r="U38" s="18" t="n">
        <f aca="false">SUM(K38:O38)/(1-T38-Assumptions!$B$34*Assumptions!$B$35*(1+H38*$B$5))</f>
        <v>114.600144243357</v>
      </c>
      <c r="V38" s="18" t="n">
        <f aca="false">MROUND(U38*(1+H38*$B$5),$B$6)</f>
        <v>138</v>
      </c>
      <c r="W38" s="26" t="n">
        <f aca="false">IF(I38=0,0,V38/I38-1)</f>
        <v>0.140495867768595</v>
      </c>
      <c r="X38" s="29" t="n">
        <f aca="false">MROUND(V38*3*(1-$B$7),$B$6)</f>
        <v>373</v>
      </c>
      <c r="Y38" s="29" t="n">
        <f aca="false">MROUND(V38*6*(1-$B$8),$B$6)</f>
        <v>704</v>
      </c>
      <c r="Z38" s="29" t="n">
        <f aca="false">MROUND(V38*10*(1-$B$9),$B$6)</f>
        <v>1104</v>
      </c>
      <c r="AC38" s="25" t="n">
        <f aca="false">IF(OR(D38="ACTIVE",D38="CONSULTATION"),1,0)</f>
        <v>1</v>
      </c>
    </row>
    <row r="39" customFormat="false" ht="15" hidden="false" customHeight="false" outlineLevel="0" collapsed="false">
      <c r="A39" s="6" t="s">
        <v>278</v>
      </c>
      <c r="B39" s="6" t="s">
        <v>291</v>
      </c>
      <c r="C39" s="2" t="s">
        <v>280</v>
      </c>
      <c r="D39" s="2" t="s">
        <v>281</v>
      </c>
      <c r="E39" s="2" t="s">
        <v>157</v>
      </c>
      <c r="F39" s="25" t="n">
        <v>50</v>
      </c>
      <c r="G39" s="25" t="n">
        <v>50</v>
      </c>
      <c r="H39" s="26" t="n">
        <v>0.2</v>
      </c>
      <c r="I39" s="18" t="n">
        <v>149</v>
      </c>
      <c r="J39" s="18" t="n">
        <f aca="false">I39/(1+H39*$B$5)</f>
        <v>124.166666666667</v>
      </c>
      <c r="K39" s="27" t="n">
        <v>2</v>
      </c>
      <c r="L39" s="18" t="n">
        <f aca="false">G39/60*Machinery!$H$5*Assumptions!$B$23/100</f>
        <v>0.225</v>
      </c>
      <c r="M39" s="18" t="n">
        <f aca="false">G39/60*Machinery!$K$5</f>
        <v>0.5</v>
      </c>
      <c r="N39" s="18" t="n">
        <f aca="false">G39/60*Machinery!$L$5</f>
        <v>0.714285714285714</v>
      </c>
      <c r="O39" s="18" t="n">
        <f aca="false">F39/60*Assumptions!$B$20</f>
        <v>28.719806763285</v>
      </c>
      <c r="P39" s="18" t="n">
        <f aca="false">I39*Assumptions!$B$34*Assumptions!$B$35</f>
        <v>2.40635</v>
      </c>
      <c r="Q39" s="18" t="n">
        <f aca="false">SUM(K39:P39)</f>
        <v>34.5654424775708</v>
      </c>
      <c r="R39" s="18" t="n">
        <f aca="false">J39-Q39</f>
        <v>89.6012241890959</v>
      </c>
      <c r="S39" s="28" t="n">
        <f aca="false">IF(J39=0,0,R39/J39)</f>
        <v>0.721620597496074</v>
      </c>
      <c r="T39" s="26" t="n">
        <f aca="false">INDEX($B$13:$B$25,MATCH(E39,$A$13:$A$25,0))</f>
        <v>0.7</v>
      </c>
      <c r="U39" s="18" t="n">
        <f aca="false">SUM(K39:O39)/(1-T39-Assumptions!$B$34*Assumptions!$B$35*(1+H39*$B$5))</f>
        <v>114.600144243357</v>
      </c>
      <c r="V39" s="18" t="n">
        <f aca="false">MROUND(U39*(1+H39*$B$5),$B$6)</f>
        <v>138</v>
      </c>
      <c r="W39" s="26" t="n">
        <f aca="false">IF(I39=0,0,V39/I39-1)</f>
        <v>-0.0738255033557047</v>
      </c>
      <c r="X39" s="29" t="n">
        <f aca="false">MROUND(V39*3*(1-$B$7),$B$6)</f>
        <v>373</v>
      </c>
      <c r="Y39" s="29" t="n">
        <f aca="false">MROUND(V39*6*(1-$B$8),$B$6)</f>
        <v>704</v>
      </c>
      <c r="Z39" s="29" t="n">
        <f aca="false">MROUND(V39*10*(1-$B$9),$B$6)</f>
        <v>1104</v>
      </c>
      <c r="AC39" s="25" t="n">
        <f aca="false">IF(OR(D39="ACTIVE",D39="CONSULTATION"),1,0)</f>
        <v>1</v>
      </c>
    </row>
    <row r="40" customFormat="false" ht="15" hidden="false" customHeight="false" outlineLevel="0" collapsed="false">
      <c r="A40" s="6" t="s">
        <v>278</v>
      </c>
      <c r="B40" s="6" t="s">
        <v>292</v>
      </c>
      <c r="C40" s="2" t="s">
        <v>280</v>
      </c>
      <c r="D40" s="2" t="s">
        <v>281</v>
      </c>
      <c r="E40" s="2" t="s">
        <v>157</v>
      </c>
      <c r="F40" s="25" t="n">
        <v>15</v>
      </c>
      <c r="G40" s="25" t="n">
        <v>15</v>
      </c>
      <c r="H40" s="26" t="n">
        <v>0.2</v>
      </c>
      <c r="I40" s="18" t="n">
        <v>11</v>
      </c>
      <c r="J40" s="18" t="n">
        <f aca="false">I40/(1+H40*$B$5)</f>
        <v>9.16666666666667</v>
      </c>
      <c r="K40" s="27" t="n">
        <v>1</v>
      </c>
      <c r="L40" s="18" t="n">
        <f aca="false">G40/60*Machinery!$H$5*Assumptions!$B$23/100</f>
        <v>0.0675</v>
      </c>
      <c r="M40" s="18" t="n">
        <f aca="false">G40/60*Machinery!$K$5</f>
        <v>0.15</v>
      </c>
      <c r="N40" s="18" t="n">
        <f aca="false">G40/60*Machinery!$L$5</f>
        <v>0.214285714285714</v>
      </c>
      <c r="O40" s="18" t="n">
        <f aca="false">F40/60*Assumptions!$B$20</f>
        <v>8.61594202898551</v>
      </c>
      <c r="P40" s="18" t="n">
        <f aca="false">I40*Assumptions!$B$34*Assumptions!$B$35</f>
        <v>0.17765</v>
      </c>
      <c r="Q40" s="18" t="n">
        <f aca="false">SUM(K40:P40)</f>
        <v>10.2253777432712</v>
      </c>
      <c r="R40" s="18" t="n">
        <f aca="false">J40-Q40</f>
        <v>-1.05871107660455</v>
      </c>
      <c r="S40" s="28" t="n">
        <f aca="false">IF(J40=0,0,R40/J40)</f>
        <v>-0.115495753811406</v>
      </c>
      <c r="T40" s="26" t="n">
        <f aca="false">INDEX($B$13:$B$25,MATCH(E40,$A$13:$A$25,0))</f>
        <v>0.7</v>
      </c>
      <c r="U40" s="18" t="n">
        <f aca="false">SUM(K40:O40)/(1-T40-Assumptions!$B$34*Assumptions!$B$35*(1+H40*$B$5))</f>
        <v>35.8054584251701</v>
      </c>
      <c r="V40" s="18" t="n">
        <f aca="false">MROUND(U40*(1+H40*$B$5),$B$6)</f>
        <v>43</v>
      </c>
      <c r="W40" s="26" t="n">
        <f aca="false">IF(I40=0,0,V40/I40-1)</f>
        <v>2.90909090909091</v>
      </c>
      <c r="X40" s="29" t="n">
        <f aca="false">MROUND(V40*3*(1-$B$7),$B$6)</f>
        <v>116</v>
      </c>
      <c r="Y40" s="29" t="n">
        <f aca="false">MROUND(V40*6*(1-$B$8),$B$6)</f>
        <v>219</v>
      </c>
      <c r="Z40" s="29" t="n">
        <f aca="false">MROUND(V40*10*(1-$B$9),$B$6)</f>
        <v>344</v>
      </c>
      <c r="AC40" s="25" t="n">
        <f aca="false">IF(OR(D40="ACTIVE",D40="CONSULTATION"),1,0)</f>
        <v>1</v>
      </c>
    </row>
    <row r="41" customFormat="false" ht="15" hidden="false" customHeight="false" outlineLevel="0" collapsed="false">
      <c r="A41" s="6" t="s">
        <v>278</v>
      </c>
      <c r="B41" s="6" t="s">
        <v>293</v>
      </c>
      <c r="C41" s="2" t="s">
        <v>280</v>
      </c>
      <c r="D41" s="2" t="s">
        <v>281</v>
      </c>
      <c r="E41" s="2" t="s">
        <v>157</v>
      </c>
      <c r="F41" s="25" t="n">
        <v>15</v>
      </c>
      <c r="G41" s="25" t="n">
        <v>15</v>
      </c>
      <c r="H41" s="26" t="n">
        <v>0.2</v>
      </c>
      <c r="I41" s="18" t="n">
        <v>15</v>
      </c>
      <c r="J41" s="18" t="n">
        <f aca="false">I41/(1+H41*$B$5)</f>
        <v>12.5</v>
      </c>
      <c r="K41" s="27" t="n">
        <v>1</v>
      </c>
      <c r="L41" s="18" t="n">
        <f aca="false">G41/60*Machinery!$H$5*Assumptions!$B$23/100</f>
        <v>0.0675</v>
      </c>
      <c r="M41" s="18" t="n">
        <f aca="false">G41/60*Machinery!$K$5</f>
        <v>0.15</v>
      </c>
      <c r="N41" s="18" t="n">
        <f aca="false">G41/60*Machinery!$L$5</f>
        <v>0.214285714285714</v>
      </c>
      <c r="O41" s="18" t="n">
        <f aca="false">F41/60*Assumptions!$B$20</f>
        <v>8.61594202898551</v>
      </c>
      <c r="P41" s="18" t="n">
        <f aca="false">I41*Assumptions!$B$34*Assumptions!$B$35</f>
        <v>0.24225</v>
      </c>
      <c r="Q41" s="18" t="n">
        <f aca="false">SUM(K41:P41)</f>
        <v>10.2899777432712</v>
      </c>
      <c r="R41" s="18" t="n">
        <f aca="false">J41-Q41</f>
        <v>2.21002225672878</v>
      </c>
      <c r="S41" s="28" t="n">
        <f aca="false">IF(J41=0,0,R41/J41)</f>
        <v>0.176801780538302</v>
      </c>
      <c r="T41" s="26" t="n">
        <f aca="false">INDEX($B$13:$B$25,MATCH(E41,$A$13:$A$25,0))</f>
        <v>0.7</v>
      </c>
      <c r="U41" s="18" t="n">
        <f aca="false">SUM(K41:O41)/(1-T41-Assumptions!$B$34*Assumptions!$B$35*(1+H41*$B$5))</f>
        <v>35.8054584251701</v>
      </c>
      <c r="V41" s="18" t="n">
        <f aca="false">MROUND(U41*(1+H41*$B$5),$B$6)</f>
        <v>43</v>
      </c>
      <c r="W41" s="26" t="n">
        <f aca="false">IF(I41=0,0,V41/I41-1)</f>
        <v>1.86666666666667</v>
      </c>
      <c r="X41" s="29" t="n">
        <f aca="false">MROUND(V41*3*(1-$B$7),$B$6)</f>
        <v>116</v>
      </c>
      <c r="Y41" s="29" t="n">
        <f aca="false">MROUND(V41*6*(1-$B$8),$B$6)</f>
        <v>219</v>
      </c>
      <c r="Z41" s="29" t="n">
        <f aca="false">MROUND(V41*10*(1-$B$9),$B$6)</f>
        <v>344</v>
      </c>
      <c r="AC41" s="25" t="n">
        <f aca="false">IF(OR(D41="ACTIVE",D41="CONSULTATION"),1,0)</f>
        <v>1</v>
      </c>
    </row>
    <row r="42" customFormat="false" ht="15" hidden="false" customHeight="false" outlineLevel="0" collapsed="false">
      <c r="A42" s="6" t="s">
        <v>278</v>
      </c>
      <c r="B42" s="6" t="s">
        <v>294</v>
      </c>
      <c r="C42" s="2" t="s">
        <v>280</v>
      </c>
      <c r="D42" s="2" t="s">
        <v>281</v>
      </c>
      <c r="E42" s="2" t="s">
        <v>157</v>
      </c>
      <c r="F42" s="25" t="n">
        <v>15</v>
      </c>
      <c r="G42" s="25" t="n">
        <v>15</v>
      </c>
      <c r="H42" s="26" t="n">
        <v>0.2</v>
      </c>
      <c r="I42" s="18" t="n">
        <v>23</v>
      </c>
      <c r="J42" s="18" t="n">
        <f aca="false">I42/(1+H42*$B$5)</f>
        <v>19.1666666666667</v>
      </c>
      <c r="K42" s="27" t="n">
        <v>1</v>
      </c>
      <c r="L42" s="18" t="n">
        <f aca="false">G42/60*Machinery!$H$5*Assumptions!$B$23/100</f>
        <v>0.0675</v>
      </c>
      <c r="M42" s="18" t="n">
        <f aca="false">G42/60*Machinery!$K$5</f>
        <v>0.15</v>
      </c>
      <c r="N42" s="18" t="n">
        <f aca="false">G42/60*Machinery!$L$5</f>
        <v>0.214285714285714</v>
      </c>
      <c r="O42" s="18" t="n">
        <f aca="false">F42/60*Assumptions!$B$20</f>
        <v>8.61594202898551</v>
      </c>
      <c r="P42" s="18" t="n">
        <f aca="false">I42*Assumptions!$B$34*Assumptions!$B$35</f>
        <v>0.37145</v>
      </c>
      <c r="Q42" s="18" t="n">
        <f aca="false">SUM(K42:P42)</f>
        <v>10.4191777432712</v>
      </c>
      <c r="R42" s="18" t="n">
        <f aca="false">J42-Q42</f>
        <v>8.74748892339545</v>
      </c>
      <c r="S42" s="28" t="n">
        <f aca="false">IF(J42=0,0,R42/J42)</f>
        <v>0.456390726438023</v>
      </c>
      <c r="T42" s="26" t="n">
        <f aca="false">INDEX($B$13:$B$25,MATCH(E42,$A$13:$A$25,0))</f>
        <v>0.7</v>
      </c>
      <c r="U42" s="18" t="n">
        <f aca="false">SUM(K42:O42)/(1-T42-Assumptions!$B$34*Assumptions!$B$35*(1+H42*$B$5))</f>
        <v>35.8054584251701</v>
      </c>
      <c r="V42" s="18" t="n">
        <f aca="false">MROUND(U42*(1+H42*$B$5),$B$6)</f>
        <v>43</v>
      </c>
      <c r="W42" s="26" t="n">
        <f aca="false">IF(I42=0,0,V42/I42-1)</f>
        <v>0.869565217391304</v>
      </c>
      <c r="X42" s="29" t="n">
        <f aca="false">MROUND(V42*3*(1-$B$7),$B$6)</f>
        <v>116</v>
      </c>
      <c r="Y42" s="29" t="n">
        <f aca="false">MROUND(V42*6*(1-$B$8),$B$6)</f>
        <v>219</v>
      </c>
      <c r="Z42" s="29" t="n">
        <f aca="false">MROUND(V42*10*(1-$B$9),$B$6)</f>
        <v>344</v>
      </c>
      <c r="AC42" s="25" t="n">
        <f aca="false">IF(OR(D42="ACTIVE",D42="CONSULTATION"),1,0)</f>
        <v>1</v>
      </c>
    </row>
    <row r="43" customFormat="false" ht="15" hidden="false" customHeight="false" outlineLevel="0" collapsed="false">
      <c r="A43" s="6" t="s">
        <v>278</v>
      </c>
      <c r="B43" s="6" t="s">
        <v>295</v>
      </c>
      <c r="C43" s="2" t="s">
        <v>280</v>
      </c>
      <c r="D43" s="2" t="s">
        <v>281</v>
      </c>
      <c r="E43" s="2" t="s">
        <v>157</v>
      </c>
      <c r="F43" s="25" t="n">
        <v>20</v>
      </c>
      <c r="G43" s="25" t="n">
        <v>20</v>
      </c>
      <c r="H43" s="26" t="n">
        <v>0.2</v>
      </c>
      <c r="I43" s="18" t="n">
        <v>29</v>
      </c>
      <c r="J43" s="18" t="n">
        <f aca="false">I43/(1+H43*$B$5)</f>
        <v>24.1666666666667</v>
      </c>
      <c r="K43" s="27" t="n">
        <v>1.5</v>
      </c>
      <c r="L43" s="18" t="n">
        <f aca="false">G43/60*Machinery!$H$5*Assumptions!$B$23/100</f>
        <v>0.09</v>
      </c>
      <c r="M43" s="18" t="n">
        <f aca="false">G43/60*Machinery!$K$5</f>
        <v>0.2</v>
      </c>
      <c r="N43" s="18" t="n">
        <f aca="false">G43/60*Machinery!$L$5</f>
        <v>0.285714285714286</v>
      </c>
      <c r="O43" s="18" t="n">
        <f aca="false">F43/60*Assumptions!$B$20</f>
        <v>11.487922705314</v>
      </c>
      <c r="P43" s="18" t="n">
        <f aca="false">I43*Assumptions!$B$34*Assumptions!$B$35</f>
        <v>0.46835</v>
      </c>
      <c r="Q43" s="18" t="n">
        <f aca="false">SUM(K43:P43)</f>
        <v>14.0319869910283</v>
      </c>
      <c r="R43" s="18" t="n">
        <f aca="false">J43-Q43</f>
        <v>10.1346796756384</v>
      </c>
      <c r="S43" s="28" t="n">
        <f aca="false">IF(J43=0,0,R43/J43)</f>
        <v>0.419366055543657</v>
      </c>
      <c r="T43" s="26" t="n">
        <f aca="false">INDEX($B$13:$B$25,MATCH(E43,$A$13:$A$25,0))</f>
        <v>0.7</v>
      </c>
      <c r="U43" s="18" t="n">
        <f aca="false">SUM(K43:O43)/(1-T43-Assumptions!$B$34*Assumptions!$B$35*(1+H43*$B$5))</f>
        <v>48.334534213628</v>
      </c>
      <c r="V43" s="18" t="n">
        <f aca="false">MROUND(U43*(1+H43*$B$5),$B$6)</f>
        <v>58</v>
      </c>
      <c r="W43" s="26" t="n">
        <f aca="false">IF(I43=0,0,V43/I43-1)</f>
        <v>1</v>
      </c>
      <c r="X43" s="29" t="n">
        <f aca="false">MROUND(V43*3*(1-$B$7),$B$6)</f>
        <v>157</v>
      </c>
      <c r="Y43" s="29" t="n">
        <f aca="false">MROUND(V43*6*(1-$B$8),$B$6)</f>
        <v>296</v>
      </c>
      <c r="Z43" s="29" t="n">
        <f aca="false">MROUND(V43*10*(1-$B$9),$B$6)</f>
        <v>464</v>
      </c>
      <c r="AC43" s="25" t="n">
        <f aca="false">IF(OR(D43="ACTIVE",D43="CONSULTATION"),1,0)</f>
        <v>1</v>
      </c>
    </row>
    <row r="44" customFormat="false" ht="15" hidden="false" customHeight="false" outlineLevel="0" collapsed="false">
      <c r="A44" s="6" t="s">
        <v>278</v>
      </c>
      <c r="B44" s="6" t="s">
        <v>296</v>
      </c>
      <c r="C44" s="2" t="s">
        <v>280</v>
      </c>
      <c r="D44" s="2" t="s">
        <v>281</v>
      </c>
      <c r="E44" s="2" t="s">
        <v>157</v>
      </c>
      <c r="F44" s="25" t="n">
        <v>20</v>
      </c>
      <c r="G44" s="25" t="n">
        <v>20</v>
      </c>
      <c r="H44" s="26" t="n">
        <v>0.2</v>
      </c>
      <c r="I44" s="18" t="n">
        <v>32</v>
      </c>
      <c r="J44" s="18" t="n">
        <f aca="false">I44/(1+H44*$B$5)</f>
        <v>26.6666666666667</v>
      </c>
      <c r="K44" s="27" t="n">
        <v>1.5</v>
      </c>
      <c r="L44" s="18" t="n">
        <f aca="false">G44/60*Machinery!$H$5*Assumptions!$B$23/100</f>
        <v>0.09</v>
      </c>
      <c r="M44" s="18" t="n">
        <f aca="false">G44/60*Machinery!$K$5</f>
        <v>0.2</v>
      </c>
      <c r="N44" s="18" t="n">
        <f aca="false">G44/60*Machinery!$L$5</f>
        <v>0.285714285714286</v>
      </c>
      <c r="O44" s="18" t="n">
        <f aca="false">F44/60*Assumptions!$B$20</f>
        <v>11.487922705314</v>
      </c>
      <c r="P44" s="18" t="n">
        <f aca="false">I44*Assumptions!$B$34*Assumptions!$B$35</f>
        <v>0.5168</v>
      </c>
      <c r="Q44" s="18" t="n">
        <f aca="false">SUM(K44:P44)</f>
        <v>14.0804369910283</v>
      </c>
      <c r="R44" s="18" t="n">
        <f aca="false">J44-Q44</f>
        <v>12.5862296756384</v>
      </c>
      <c r="S44" s="28" t="n">
        <f aca="false">IF(J44=0,0,R44/J44)</f>
        <v>0.471983612836439</v>
      </c>
      <c r="T44" s="26" t="n">
        <f aca="false">INDEX($B$13:$B$25,MATCH(E44,$A$13:$A$25,0))</f>
        <v>0.7</v>
      </c>
      <c r="U44" s="18" t="n">
        <f aca="false">SUM(K44:O44)/(1-T44-Assumptions!$B$34*Assumptions!$B$35*(1+H44*$B$5))</f>
        <v>48.334534213628</v>
      </c>
      <c r="V44" s="18" t="n">
        <f aca="false">MROUND(U44*(1+H44*$B$5),$B$6)</f>
        <v>58</v>
      </c>
      <c r="W44" s="26" t="n">
        <f aca="false">IF(I44=0,0,V44/I44-1)</f>
        <v>0.8125</v>
      </c>
      <c r="X44" s="29" t="n">
        <f aca="false">MROUND(V44*3*(1-$B$7),$B$6)</f>
        <v>157</v>
      </c>
      <c r="Y44" s="29" t="n">
        <f aca="false">MROUND(V44*6*(1-$B$8),$B$6)</f>
        <v>296</v>
      </c>
      <c r="Z44" s="29" t="n">
        <f aca="false">MROUND(V44*10*(1-$B$9),$B$6)</f>
        <v>464</v>
      </c>
      <c r="AC44" s="25" t="n">
        <f aca="false">IF(OR(D44="ACTIVE",D44="CONSULTATION"),1,0)</f>
        <v>1</v>
      </c>
    </row>
    <row r="45" customFormat="false" ht="15" hidden="false" customHeight="false" outlineLevel="0" collapsed="false">
      <c r="A45" s="6" t="s">
        <v>278</v>
      </c>
      <c r="B45" s="6" t="s">
        <v>297</v>
      </c>
      <c r="C45" s="2" t="s">
        <v>280</v>
      </c>
      <c r="D45" s="2" t="s">
        <v>281</v>
      </c>
      <c r="E45" s="2" t="s">
        <v>157</v>
      </c>
      <c r="F45" s="25" t="n">
        <v>20</v>
      </c>
      <c r="G45" s="25" t="n">
        <v>20</v>
      </c>
      <c r="H45" s="26" t="n">
        <v>0.2</v>
      </c>
      <c r="I45" s="18" t="n">
        <v>40</v>
      </c>
      <c r="J45" s="18" t="n">
        <f aca="false">I45/(1+H45*$B$5)</f>
        <v>33.3333333333333</v>
      </c>
      <c r="K45" s="27" t="n">
        <v>1.5</v>
      </c>
      <c r="L45" s="18" t="n">
        <f aca="false">G45/60*Machinery!$H$5*Assumptions!$B$23/100</f>
        <v>0.09</v>
      </c>
      <c r="M45" s="18" t="n">
        <f aca="false">G45/60*Machinery!$K$5</f>
        <v>0.2</v>
      </c>
      <c r="N45" s="18" t="n">
        <f aca="false">G45/60*Machinery!$L$5</f>
        <v>0.285714285714286</v>
      </c>
      <c r="O45" s="18" t="n">
        <f aca="false">F45/60*Assumptions!$B$20</f>
        <v>11.487922705314</v>
      </c>
      <c r="P45" s="18" t="n">
        <f aca="false">I45*Assumptions!$B$34*Assumptions!$B$35</f>
        <v>0.646</v>
      </c>
      <c r="Q45" s="18" t="n">
        <f aca="false">SUM(K45:P45)</f>
        <v>14.2096369910283</v>
      </c>
      <c r="R45" s="18" t="n">
        <f aca="false">J45-Q45</f>
        <v>19.123696342305</v>
      </c>
      <c r="S45" s="28" t="n">
        <f aca="false">IF(J45=0,0,R45/J45)</f>
        <v>0.573710890269151</v>
      </c>
      <c r="T45" s="26" t="n">
        <f aca="false">INDEX($B$13:$B$25,MATCH(E45,$A$13:$A$25,0))</f>
        <v>0.7</v>
      </c>
      <c r="U45" s="18" t="n">
        <f aca="false">SUM(K45:O45)/(1-T45-Assumptions!$B$34*Assumptions!$B$35*(1+H45*$B$5))</f>
        <v>48.334534213628</v>
      </c>
      <c r="V45" s="18" t="n">
        <f aca="false">MROUND(U45*(1+H45*$B$5),$B$6)</f>
        <v>58</v>
      </c>
      <c r="W45" s="26" t="n">
        <f aca="false">IF(I45=0,0,V45/I45-1)</f>
        <v>0.45</v>
      </c>
      <c r="X45" s="29" t="n">
        <f aca="false">MROUND(V45*3*(1-$B$7),$B$6)</f>
        <v>157</v>
      </c>
      <c r="Y45" s="29" t="n">
        <f aca="false">MROUND(V45*6*(1-$B$8),$B$6)</f>
        <v>296</v>
      </c>
      <c r="Z45" s="29" t="n">
        <f aca="false">MROUND(V45*10*(1-$B$9),$B$6)</f>
        <v>464</v>
      </c>
      <c r="AC45" s="25" t="n">
        <f aca="false">IF(OR(D45="ACTIVE",D45="CONSULTATION"),1,0)</f>
        <v>1</v>
      </c>
    </row>
    <row r="46" customFormat="false" ht="15" hidden="false" customHeight="false" outlineLevel="0" collapsed="false">
      <c r="A46" s="6" t="s">
        <v>278</v>
      </c>
      <c r="B46" s="6" t="s">
        <v>298</v>
      </c>
      <c r="C46" s="2" t="s">
        <v>280</v>
      </c>
      <c r="D46" s="2" t="s">
        <v>281</v>
      </c>
      <c r="E46" s="2" t="s">
        <v>157</v>
      </c>
      <c r="F46" s="25" t="n">
        <v>20</v>
      </c>
      <c r="G46" s="25" t="n">
        <v>20</v>
      </c>
      <c r="H46" s="26" t="n">
        <v>0.2</v>
      </c>
      <c r="I46" s="18" t="n">
        <v>46</v>
      </c>
      <c r="J46" s="18" t="n">
        <f aca="false">I46/(1+H46*$B$5)</f>
        <v>38.3333333333333</v>
      </c>
      <c r="K46" s="27" t="n">
        <v>1.5</v>
      </c>
      <c r="L46" s="18" t="n">
        <f aca="false">G46/60*Machinery!$H$5*Assumptions!$B$23/100</f>
        <v>0.09</v>
      </c>
      <c r="M46" s="18" t="n">
        <f aca="false">G46/60*Machinery!$K$5</f>
        <v>0.2</v>
      </c>
      <c r="N46" s="18" t="n">
        <f aca="false">G46/60*Machinery!$L$5</f>
        <v>0.285714285714286</v>
      </c>
      <c r="O46" s="18" t="n">
        <f aca="false">F46/60*Assumptions!$B$20</f>
        <v>11.487922705314</v>
      </c>
      <c r="P46" s="18" t="n">
        <f aca="false">I46*Assumptions!$B$34*Assumptions!$B$35</f>
        <v>0.7429</v>
      </c>
      <c r="Q46" s="18" t="n">
        <f aca="false">SUM(K46:P46)</f>
        <v>14.3065369910283</v>
      </c>
      <c r="R46" s="18" t="n">
        <f aca="false">J46-Q46</f>
        <v>24.026796342305</v>
      </c>
      <c r="S46" s="28" t="n">
        <f aca="false">IF(J46=0,0,R46/J46)</f>
        <v>0.626785991538392</v>
      </c>
      <c r="T46" s="26" t="n">
        <f aca="false">INDEX($B$13:$B$25,MATCH(E46,$A$13:$A$25,0))</f>
        <v>0.7</v>
      </c>
      <c r="U46" s="18" t="n">
        <f aca="false">SUM(K46:O46)/(1-T46-Assumptions!$B$34*Assumptions!$B$35*(1+H46*$B$5))</f>
        <v>48.334534213628</v>
      </c>
      <c r="V46" s="18" t="n">
        <f aca="false">MROUND(U46*(1+H46*$B$5),$B$6)</f>
        <v>58</v>
      </c>
      <c r="W46" s="26" t="n">
        <f aca="false">IF(I46=0,0,V46/I46-1)</f>
        <v>0.260869565217391</v>
      </c>
      <c r="X46" s="29" t="n">
        <f aca="false">MROUND(V46*3*(1-$B$7),$B$6)</f>
        <v>157</v>
      </c>
      <c r="Y46" s="29" t="n">
        <f aca="false">MROUND(V46*6*(1-$B$8),$B$6)</f>
        <v>296</v>
      </c>
      <c r="Z46" s="29" t="n">
        <f aca="false">MROUND(V46*10*(1-$B$9),$B$6)</f>
        <v>464</v>
      </c>
      <c r="AC46" s="25" t="n">
        <f aca="false">IF(OR(D46="ACTIVE",D46="CONSULTATION"),1,0)</f>
        <v>1</v>
      </c>
    </row>
    <row r="47" customFormat="false" ht="15" hidden="false" customHeight="false" outlineLevel="0" collapsed="false">
      <c r="A47" s="6" t="s">
        <v>278</v>
      </c>
      <c r="B47" s="6" t="s">
        <v>299</v>
      </c>
      <c r="C47" s="2" t="s">
        <v>280</v>
      </c>
      <c r="D47" s="2" t="s">
        <v>281</v>
      </c>
      <c r="E47" s="2" t="s">
        <v>157</v>
      </c>
      <c r="F47" s="25" t="n">
        <v>20</v>
      </c>
      <c r="G47" s="25" t="n">
        <v>20</v>
      </c>
      <c r="H47" s="26" t="n">
        <v>0.2</v>
      </c>
      <c r="I47" s="18" t="n">
        <v>34</v>
      </c>
      <c r="J47" s="18" t="n">
        <f aca="false">I47/(1+H47*$B$5)</f>
        <v>28.3333333333333</v>
      </c>
      <c r="K47" s="27" t="n">
        <v>1.5</v>
      </c>
      <c r="L47" s="18" t="n">
        <f aca="false">G47/60*Machinery!$H$5*Assumptions!$B$23/100</f>
        <v>0.09</v>
      </c>
      <c r="M47" s="18" t="n">
        <f aca="false">G47/60*Machinery!$K$5</f>
        <v>0.2</v>
      </c>
      <c r="N47" s="18" t="n">
        <f aca="false">G47/60*Machinery!$L$5</f>
        <v>0.285714285714286</v>
      </c>
      <c r="O47" s="18" t="n">
        <f aca="false">F47/60*Assumptions!$B$20</f>
        <v>11.487922705314</v>
      </c>
      <c r="P47" s="18" t="n">
        <f aca="false">I47*Assumptions!$B$34*Assumptions!$B$35</f>
        <v>0.5491</v>
      </c>
      <c r="Q47" s="18" t="n">
        <f aca="false">SUM(K47:P47)</f>
        <v>14.1127369910283</v>
      </c>
      <c r="R47" s="18" t="n">
        <f aca="false">J47-Q47</f>
        <v>14.220596342305</v>
      </c>
      <c r="S47" s="28" t="n">
        <f aca="false">IF(J47=0,0,R47/J47)</f>
        <v>0.501903400316649</v>
      </c>
      <c r="T47" s="26" t="n">
        <f aca="false">INDEX($B$13:$B$25,MATCH(E47,$A$13:$A$25,0))</f>
        <v>0.7</v>
      </c>
      <c r="U47" s="18" t="n">
        <f aca="false">SUM(K47:O47)/(1-T47-Assumptions!$B$34*Assumptions!$B$35*(1+H47*$B$5))</f>
        <v>48.334534213628</v>
      </c>
      <c r="V47" s="18" t="n">
        <f aca="false">MROUND(U47*(1+H47*$B$5),$B$6)</f>
        <v>58</v>
      </c>
      <c r="W47" s="26" t="n">
        <f aca="false">IF(I47=0,0,V47/I47-1)</f>
        <v>0.705882352941176</v>
      </c>
      <c r="X47" s="29" t="n">
        <f aca="false">MROUND(V47*3*(1-$B$7),$B$6)</f>
        <v>157</v>
      </c>
      <c r="Y47" s="29" t="n">
        <f aca="false">MROUND(V47*6*(1-$B$8),$B$6)</f>
        <v>296</v>
      </c>
      <c r="Z47" s="29" t="n">
        <f aca="false">MROUND(V47*10*(1-$B$9),$B$6)</f>
        <v>464</v>
      </c>
      <c r="AC47" s="25" t="n">
        <f aca="false">IF(OR(D47="ACTIVE",D47="CONSULTATION"),1,0)</f>
        <v>1</v>
      </c>
    </row>
    <row r="48" customFormat="false" ht="15" hidden="false" customHeight="false" outlineLevel="0" collapsed="false">
      <c r="A48" s="6" t="s">
        <v>278</v>
      </c>
      <c r="B48" s="6" t="s">
        <v>300</v>
      </c>
      <c r="C48" s="2" t="s">
        <v>280</v>
      </c>
      <c r="D48" s="2" t="s">
        <v>281</v>
      </c>
      <c r="E48" s="2" t="s">
        <v>157</v>
      </c>
      <c r="F48" s="25" t="n">
        <v>20</v>
      </c>
      <c r="G48" s="25" t="n">
        <v>20</v>
      </c>
      <c r="H48" s="26" t="n">
        <v>0.2</v>
      </c>
      <c r="I48" s="18" t="n">
        <v>34</v>
      </c>
      <c r="J48" s="18" t="n">
        <f aca="false">I48/(1+H48*$B$5)</f>
        <v>28.3333333333333</v>
      </c>
      <c r="K48" s="27" t="n">
        <v>1.5</v>
      </c>
      <c r="L48" s="18" t="n">
        <f aca="false">G48/60*Machinery!$H$5*Assumptions!$B$23/100</f>
        <v>0.09</v>
      </c>
      <c r="M48" s="18" t="n">
        <f aca="false">G48/60*Machinery!$K$5</f>
        <v>0.2</v>
      </c>
      <c r="N48" s="18" t="n">
        <f aca="false">G48/60*Machinery!$L$5</f>
        <v>0.285714285714286</v>
      </c>
      <c r="O48" s="18" t="n">
        <f aca="false">F48/60*Assumptions!$B$20</f>
        <v>11.487922705314</v>
      </c>
      <c r="P48" s="18" t="n">
        <f aca="false">I48*Assumptions!$B$34*Assumptions!$B$35</f>
        <v>0.5491</v>
      </c>
      <c r="Q48" s="18" t="n">
        <f aca="false">SUM(K48:P48)</f>
        <v>14.1127369910283</v>
      </c>
      <c r="R48" s="18" t="n">
        <f aca="false">J48-Q48</f>
        <v>14.220596342305</v>
      </c>
      <c r="S48" s="28" t="n">
        <f aca="false">IF(J48=0,0,R48/J48)</f>
        <v>0.501903400316649</v>
      </c>
      <c r="T48" s="26" t="n">
        <f aca="false">INDEX($B$13:$B$25,MATCH(E48,$A$13:$A$25,0))</f>
        <v>0.7</v>
      </c>
      <c r="U48" s="18" t="n">
        <f aca="false">SUM(K48:O48)/(1-T48-Assumptions!$B$34*Assumptions!$B$35*(1+H48*$B$5))</f>
        <v>48.334534213628</v>
      </c>
      <c r="V48" s="18" t="n">
        <f aca="false">MROUND(U48*(1+H48*$B$5),$B$6)</f>
        <v>58</v>
      </c>
      <c r="W48" s="26" t="n">
        <f aca="false">IF(I48=0,0,V48/I48-1)</f>
        <v>0.705882352941176</v>
      </c>
      <c r="X48" s="29" t="n">
        <f aca="false">MROUND(V48*3*(1-$B$7),$B$6)</f>
        <v>157</v>
      </c>
      <c r="Y48" s="29" t="n">
        <f aca="false">MROUND(V48*6*(1-$B$8),$B$6)</f>
        <v>296</v>
      </c>
      <c r="Z48" s="29" t="n">
        <f aca="false">MROUND(V48*10*(1-$B$9),$B$6)</f>
        <v>464</v>
      </c>
      <c r="AC48" s="25" t="n">
        <f aca="false">IF(OR(D48="ACTIVE",D48="CONSULTATION"),1,0)</f>
        <v>1</v>
      </c>
    </row>
    <row r="49" customFormat="false" ht="15" hidden="false" customHeight="false" outlineLevel="0" collapsed="false">
      <c r="A49" s="6" t="s">
        <v>278</v>
      </c>
      <c r="B49" s="6" t="s">
        <v>301</v>
      </c>
      <c r="C49" s="2" t="s">
        <v>280</v>
      </c>
      <c r="D49" s="2" t="s">
        <v>281</v>
      </c>
      <c r="E49" s="2" t="s">
        <v>157</v>
      </c>
      <c r="F49" s="25" t="n">
        <v>30</v>
      </c>
      <c r="G49" s="25" t="n">
        <v>30</v>
      </c>
      <c r="H49" s="26" t="n">
        <v>0.2</v>
      </c>
      <c r="I49" s="18" t="n">
        <v>54</v>
      </c>
      <c r="J49" s="18" t="n">
        <f aca="false">I49/(1+H49*$B$5)</f>
        <v>45</v>
      </c>
      <c r="K49" s="27" t="n">
        <v>1.5</v>
      </c>
      <c r="L49" s="18" t="n">
        <f aca="false">G49/60*Machinery!$H$5*Assumptions!$B$23/100</f>
        <v>0.135</v>
      </c>
      <c r="M49" s="18" t="n">
        <f aca="false">G49/60*Machinery!$K$5</f>
        <v>0.3</v>
      </c>
      <c r="N49" s="18" t="n">
        <f aca="false">G49/60*Machinery!$L$5</f>
        <v>0.428571428571429</v>
      </c>
      <c r="O49" s="18" t="n">
        <f aca="false">F49/60*Assumptions!$B$20</f>
        <v>17.231884057971</v>
      </c>
      <c r="P49" s="18" t="n">
        <f aca="false">I49*Assumptions!$B$34*Assumptions!$B$35</f>
        <v>0.8721</v>
      </c>
      <c r="Q49" s="18" t="n">
        <f aca="false">SUM(K49:P49)</f>
        <v>20.4675554865424</v>
      </c>
      <c r="R49" s="18" t="n">
        <f aca="false">J49-Q49</f>
        <v>24.5324445134576</v>
      </c>
      <c r="S49" s="28" t="n">
        <f aca="false">IF(J49=0,0,R49/J49)</f>
        <v>0.54516543363239</v>
      </c>
      <c r="T49" s="26" t="n">
        <f aca="false">INDEX($B$13:$B$25,MATCH(E49,$A$13:$A$25,0))</f>
        <v>0.7</v>
      </c>
      <c r="U49" s="18" t="n">
        <f aca="false">SUM(K49:O49)/(1-T49-Assumptions!$B$34*Assumptions!$B$35*(1+H49*$B$5))</f>
        <v>69.8291479101363</v>
      </c>
      <c r="V49" s="18" t="n">
        <f aca="false">MROUND(U49*(1+H49*$B$5),$B$6)</f>
        <v>84</v>
      </c>
      <c r="W49" s="26" t="n">
        <f aca="false">IF(I49=0,0,V49/I49-1)</f>
        <v>0.555555555555556</v>
      </c>
      <c r="X49" s="29" t="n">
        <f aca="false">MROUND(V49*3*(1-$B$7),$B$6)</f>
        <v>227</v>
      </c>
      <c r="Y49" s="29" t="n">
        <f aca="false">MROUND(V49*6*(1-$B$8),$B$6)</f>
        <v>428</v>
      </c>
      <c r="Z49" s="29" t="n">
        <f aca="false">MROUND(V49*10*(1-$B$9),$B$6)</f>
        <v>672</v>
      </c>
      <c r="AC49" s="25" t="n">
        <f aca="false">IF(OR(D49="ACTIVE",D49="CONSULTATION"),1,0)</f>
        <v>1</v>
      </c>
    </row>
    <row r="50" customFormat="false" ht="15" hidden="false" customHeight="false" outlineLevel="0" collapsed="false">
      <c r="A50" s="6" t="s">
        <v>278</v>
      </c>
      <c r="B50" s="6" t="s">
        <v>302</v>
      </c>
      <c r="C50" s="2" t="s">
        <v>280</v>
      </c>
      <c r="D50" s="2" t="s">
        <v>281</v>
      </c>
      <c r="E50" s="2" t="s">
        <v>157</v>
      </c>
      <c r="F50" s="25" t="n">
        <v>30</v>
      </c>
      <c r="G50" s="25" t="n">
        <v>30</v>
      </c>
      <c r="H50" s="26" t="n">
        <v>0.2</v>
      </c>
      <c r="I50" s="18" t="n">
        <v>66</v>
      </c>
      <c r="J50" s="18" t="n">
        <f aca="false">I50/(1+H50*$B$5)</f>
        <v>55</v>
      </c>
      <c r="K50" s="27" t="n">
        <v>1.5</v>
      </c>
      <c r="L50" s="18" t="n">
        <f aca="false">G50/60*Machinery!$H$5*Assumptions!$B$23/100</f>
        <v>0.135</v>
      </c>
      <c r="M50" s="18" t="n">
        <f aca="false">G50/60*Machinery!$K$5</f>
        <v>0.3</v>
      </c>
      <c r="N50" s="18" t="n">
        <f aca="false">G50/60*Machinery!$L$5</f>
        <v>0.428571428571429</v>
      </c>
      <c r="O50" s="18" t="n">
        <f aca="false">F50/60*Assumptions!$B$20</f>
        <v>17.231884057971</v>
      </c>
      <c r="P50" s="18" t="n">
        <f aca="false">I50*Assumptions!$B$34*Assumptions!$B$35</f>
        <v>1.0659</v>
      </c>
      <c r="Q50" s="18" t="n">
        <f aca="false">SUM(K50:P50)</f>
        <v>20.6613554865424</v>
      </c>
      <c r="R50" s="18" t="n">
        <f aca="false">J50-Q50</f>
        <v>34.3386445134576</v>
      </c>
      <c r="S50" s="28" t="n">
        <f aca="false">IF(J50=0,0,R50/J50)</f>
        <v>0.624338991153774</v>
      </c>
      <c r="T50" s="26" t="n">
        <f aca="false">INDEX($B$13:$B$25,MATCH(E50,$A$13:$A$25,0))</f>
        <v>0.7</v>
      </c>
      <c r="U50" s="18" t="n">
        <f aca="false">SUM(K50:O50)/(1-T50-Assumptions!$B$34*Assumptions!$B$35*(1+H50*$B$5))</f>
        <v>69.8291479101363</v>
      </c>
      <c r="V50" s="18" t="n">
        <f aca="false">MROUND(U50*(1+H50*$B$5),$B$6)</f>
        <v>84</v>
      </c>
      <c r="W50" s="26" t="n">
        <f aca="false">IF(I50=0,0,V50/I50-1)</f>
        <v>0.272727272727273</v>
      </c>
      <c r="X50" s="29" t="n">
        <f aca="false">MROUND(V50*3*(1-$B$7),$B$6)</f>
        <v>227</v>
      </c>
      <c r="Y50" s="29" t="n">
        <f aca="false">MROUND(V50*6*(1-$B$8),$B$6)</f>
        <v>428</v>
      </c>
      <c r="Z50" s="29" t="n">
        <f aca="false">MROUND(V50*10*(1-$B$9),$B$6)</f>
        <v>672</v>
      </c>
      <c r="AC50" s="25" t="n">
        <f aca="false">IF(OR(D50="ACTIVE",D50="CONSULTATION"),1,0)</f>
        <v>1</v>
      </c>
    </row>
    <row r="51" customFormat="false" ht="15" hidden="false" customHeight="false" outlineLevel="0" collapsed="false">
      <c r="A51" s="6" t="s">
        <v>278</v>
      </c>
      <c r="B51" s="6" t="s">
        <v>303</v>
      </c>
      <c r="C51" s="2" t="s">
        <v>280</v>
      </c>
      <c r="D51" s="2" t="s">
        <v>281</v>
      </c>
      <c r="E51" s="2" t="s">
        <v>157</v>
      </c>
      <c r="F51" s="25" t="n">
        <v>20</v>
      </c>
      <c r="G51" s="25" t="n">
        <v>20</v>
      </c>
      <c r="H51" s="26" t="n">
        <v>0.2</v>
      </c>
      <c r="I51" s="18" t="n">
        <v>17</v>
      </c>
      <c r="J51" s="18" t="n">
        <f aca="false">I51/(1+H51*$B$5)</f>
        <v>14.1666666666667</v>
      </c>
      <c r="K51" s="27" t="n">
        <v>1</v>
      </c>
      <c r="L51" s="18" t="n">
        <f aca="false">G51/60*Machinery!$H$5*Assumptions!$B$23/100</f>
        <v>0.09</v>
      </c>
      <c r="M51" s="18" t="n">
        <f aca="false">G51/60*Machinery!$K$5</f>
        <v>0.2</v>
      </c>
      <c r="N51" s="18" t="n">
        <f aca="false">G51/60*Machinery!$L$5</f>
        <v>0.285714285714286</v>
      </c>
      <c r="O51" s="18" t="n">
        <f aca="false">F51/60*Assumptions!$B$20</f>
        <v>11.487922705314</v>
      </c>
      <c r="P51" s="18" t="n">
        <f aca="false">I51*Assumptions!$B$34*Assumptions!$B$35</f>
        <v>0.27455</v>
      </c>
      <c r="Q51" s="18" t="n">
        <f aca="false">SUM(K51:P51)</f>
        <v>13.3381869910283</v>
      </c>
      <c r="R51" s="18" t="n">
        <f aca="false">J51-Q51</f>
        <v>0.828479675638373</v>
      </c>
      <c r="S51" s="28" t="n">
        <f aca="false">IF(J51=0,0,R51/J51)</f>
        <v>0.0584809182803558</v>
      </c>
      <c r="T51" s="26" t="n">
        <f aca="false">INDEX($B$13:$B$25,MATCH(E51,$A$13:$A$25,0))</f>
        <v>0.7</v>
      </c>
      <c r="U51" s="18" t="n">
        <f aca="false">SUM(K51:O51)/(1-T51-Assumptions!$B$34*Assumptions!$B$35*(1+H51*$B$5))</f>
        <v>46.5527652734242</v>
      </c>
      <c r="V51" s="18" t="n">
        <f aca="false">MROUND(U51*(1+H51*$B$5),$B$6)</f>
        <v>56</v>
      </c>
      <c r="W51" s="26" t="n">
        <f aca="false">IF(I51=0,0,V51/I51-1)</f>
        <v>2.29411764705882</v>
      </c>
      <c r="X51" s="29" t="n">
        <f aca="false">MROUND(V51*3*(1-$B$7),$B$6)</f>
        <v>151</v>
      </c>
      <c r="Y51" s="29" t="n">
        <f aca="false">MROUND(V51*6*(1-$B$8),$B$6)</f>
        <v>286</v>
      </c>
      <c r="Z51" s="29" t="n">
        <f aca="false">MROUND(V51*10*(1-$B$9),$B$6)</f>
        <v>448</v>
      </c>
      <c r="AC51" s="25" t="n">
        <f aca="false">IF(OR(D51="ACTIVE",D51="CONSULTATION"),1,0)</f>
        <v>1</v>
      </c>
    </row>
    <row r="52" customFormat="false" ht="15" hidden="false" customHeight="false" outlineLevel="0" collapsed="false">
      <c r="A52" s="6" t="s">
        <v>278</v>
      </c>
      <c r="B52" s="6" t="s">
        <v>304</v>
      </c>
      <c r="C52" s="2" t="s">
        <v>280</v>
      </c>
      <c r="D52" s="2" t="s">
        <v>281</v>
      </c>
      <c r="E52" s="2" t="s">
        <v>157</v>
      </c>
      <c r="F52" s="25" t="n">
        <v>20</v>
      </c>
      <c r="G52" s="25" t="n">
        <v>20</v>
      </c>
      <c r="H52" s="26" t="n">
        <v>0.2</v>
      </c>
      <c r="I52" s="18" t="n">
        <v>28</v>
      </c>
      <c r="J52" s="18" t="n">
        <f aca="false">I52/(1+H52*$B$5)</f>
        <v>23.3333333333333</v>
      </c>
      <c r="K52" s="27" t="n">
        <v>1.5</v>
      </c>
      <c r="L52" s="18" t="n">
        <f aca="false">G52/60*Machinery!$H$5*Assumptions!$B$23/100</f>
        <v>0.09</v>
      </c>
      <c r="M52" s="18" t="n">
        <f aca="false">G52/60*Machinery!$K$5</f>
        <v>0.2</v>
      </c>
      <c r="N52" s="18" t="n">
        <f aca="false">G52/60*Machinery!$L$5</f>
        <v>0.285714285714286</v>
      </c>
      <c r="O52" s="18" t="n">
        <f aca="false">F52/60*Assumptions!$B$20</f>
        <v>11.487922705314</v>
      </c>
      <c r="P52" s="18" t="n">
        <f aca="false">I52*Assumptions!$B$34*Assumptions!$B$35</f>
        <v>0.4522</v>
      </c>
      <c r="Q52" s="18" t="n">
        <f aca="false">SUM(K52:P52)</f>
        <v>14.0158369910283</v>
      </c>
      <c r="R52" s="18" t="n">
        <f aca="false">J52-Q52</f>
        <v>9.31749634230504</v>
      </c>
      <c r="S52" s="28" t="n">
        <f aca="false">IF(J52=0,0,R52/J52)</f>
        <v>0.399321271813073</v>
      </c>
      <c r="T52" s="26" t="n">
        <f aca="false">INDEX($B$13:$B$25,MATCH(E52,$A$13:$A$25,0))</f>
        <v>0.7</v>
      </c>
      <c r="U52" s="18" t="n">
        <f aca="false">SUM(K52:O52)/(1-T52-Assumptions!$B$34*Assumptions!$B$35*(1+H52*$B$5))</f>
        <v>48.334534213628</v>
      </c>
      <c r="V52" s="18" t="n">
        <f aca="false">MROUND(U52*(1+H52*$B$5),$B$6)</f>
        <v>58</v>
      </c>
      <c r="W52" s="26" t="n">
        <f aca="false">IF(I52=0,0,V52/I52-1)</f>
        <v>1.07142857142857</v>
      </c>
      <c r="X52" s="29" t="n">
        <f aca="false">MROUND(V52*3*(1-$B$7),$B$6)</f>
        <v>157</v>
      </c>
      <c r="Y52" s="29" t="n">
        <f aca="false">MROUND(V52*6*(1-$B$8),$B$6)</f>
        <v>296</v>
      </c>
      <c r="Z52" s="29" t="n">
        <f aca="false">MROUND(V52*10*(1-$B$9),$B$6)</f>
        <v>464</v>
      </c>
      <c r="AC52" s="25" t="n">
        <f aca="false">IF(OR(D52="ACTIVE",D52="CONSULTATION"),1,0)</f>
        <v>1</v>
      </c>
    </row>
    <row r="53" customFormat="false" ht="15" hidden="false" customHeight="false" outlineLevel="0" collapsed="false">
      <c r="A53" s="6" t="s">
        <v>278</v>
      </c>
      <c r="B53" s="6" t="s">
        <v>305</v>
      </c>
      <c r="C53" s="2" t="s">
        <v>280</v>
      </c>
      <c r="D53" s="2" t="s">
        <v>281</v>
      </c>
      <c r="E53" s="2" t="s">
        <v>157</v>
      </c>
      <c r="F53" s="25" t="n">
        <v>25</v>
      </c>
      <c r="G53" s="25" t="n">
        <v>25</v>
      </c>
      <c r="H53" s="26" t="n">
        <v>0.2</v>
      </c>
      <c r="I53" s="18" t="n">
        <v>43</v>
      </c>
      <c r="J53" s="18" t="n">
        <f aca="false">I53/(1+H53*$B$5)</f>
        <v>35.8333333333333</v>
      </c>
      <c r="K53" s="27" t="n">
        <v>1.5</v>
      </c>
      <c r="L53" s="18" t="n">
        <f aca="false">G53/60*Machinery!$H$5*Assumptions!$B$23/100</f>
        <v>0.1125</v>
      </c>
      <c r="M53" s="18" t="n">
        <f aca="false">G53/60*Machinery!$K$5</f>
        <v>0.25</v>
      </c>
      <c r="N53" s="18" t="n">
        <f aca="false">G53/60*Machinery!$L$5</f>
        <v>0.357142857142857</v>
      </c>
      <c r="O53" s="18" t="n">
        <f aca="false">F53/60*Assumptions!$B$20</f>
        <v>14.3599033816425</v>
      </c>
      <c r="P53" s="18" t="n">
        <f aca="false">I53*Assumptions!$B$34*Assumptions!$B$35</f>
        <v>0.69445</v>
      </c>
      <c r="Q53" s="18" t="n">
        <f aca="false">SUM(K53:P53)</f>
        <v>17.2739962387854</v>
      </c>
      <c r="R53" s="18" t="n">
        <f aca="false">J53-Q53</f>
        <v>18.559337094548</v>
      </c>
      <c r="S53" s="28" t="n">
        <f aca="false">IF(J53=0,0,R53/J53)</f>
        <v>0.517934988685059</v>
      </c>
      <c r="T53" s="26" t="n">
        <f aca="false">INDEX($B$13:$B$25,MATCH(E53,$A$13:$A$25,0))</f>
        <v>0.7</v>
      </c>
      <c r="U53" s="18" t="n">
        <f aca="false">SUM(K53:O53)/(1-T53-Assumptions!$B$34*Assumptions!$B$35*(1+H53*$B$5))</f>
        <v>59.0818410618822</v>
      </c>
      <c r="V53" s="18" t="n">
        <f aca="false">MROUND(U53*(1+H53*$B$5),$B$6)</f>
        <v>71</v>
      </c>
      <c r="W53" s="26" t="n">
        <f aca="false">IF(I53=0,0,V53/I53-1)</f>
        <v>0.651162790697675</v>
      </c>
      <c r="X53" s="29" t="n">
        <f aca="false">MROUND(V53*3*(1-$B$7),$B$6)</f>
        <v>192</v>
      </c>
      <c r="Y53" s="29" t="n">
        <f aca="false">MROUND(V53*6*(1-$B$8),$B$6)</f>
        <v>362</v>
      </c>
      <c r="Z53" s="29" t="n">
        <f aca="false">MROUND(V53*10*(1-$B$9),$B$6)</f>
        <v>568</v>
      </c>
      <c r="AC53" s="25" t="n">
        <f aca="false">IF(OR(D53="ACTIVE",D53="CONSULTATION"),1,0)</f>
        <v>1</v>
      </c>
    </row>
    <row r="54" customFormat="false" ht="15" hidden="false" customHeight="false" outlineLevel="0" collapsed="false">
      <c r="A54" s="6" t="s">
        <v>278</v>
      </c>
      <c r="B54" s="6" t="s">
        <v>306</v>
      </c>
      <c r="C54" s="2" t="s">
        <v>280</v>
      </c>
      <c r="D54" s="2" t="s">
        <v>281</v>
      </c>
      <c r="E54" s="2" t="s">
        <v>157</v>
      </c>
      <c r="F54" s="25" t="n">
        <v>25</v>
      </c>
      <c r="G54" s="25" t="n">
        <v>25</v>
      </c>
      <c r="H54" s="26" t="n">
        <v>0.2</v>
      </c>
      <c r="I54" s="18" t="n">
        <v>43</v>
      </c>
      <c r="J54" s="18" t="n">
        <f aca="false">I54/(1+H54*$B$5)</f>
        <v>35.8333333333333</v>
      </c>
      <c r="K54" s="27" t="n">
        <v>1.5</v>
      </c>
      <c r="L54" s="18" t="n">
        <f aca="false">G54/60*Machinery!$H$5*Assumptions!$B$23/100</f>
        <v>0.1125</v>
      </c>
      <c r="M54" s="18" t="n">
        <f aca="false">G54/60*Machinery!$K$5</f>
        <v>0.25</v>
      </c>
      <c r="N54" s="18" t="n">
        <f aca="false">G54/60*Machinery!$L$5</f>
        <v>0.357142857142857</v>
      </c>
      <c r="O54" s="18" t="n">
        <f aca="false">F54/60*Assumptions!$B$20</f>
        <v>14.3599033816425</v>
      </c>
      <c r="P54" s="18" t="n">
        <f aca="false">I54*Assumptions!$B$34*Assumptions!$B$35</f>
        <v>0.69445</v>
      </c>
      <c r="Q54" s="18" t="n">
        <f aca="false">SUM(K54:P54)</f>
        <v>17.2739962387854</v>
      </c>
      <c r="R54" s="18" t="n">
        <f aca="false">J54-Q54</f>
        <v>18.559337094548</v>
      </c>
      <c r="S54" s="28" t="n">
        <f aca="false">IF(J54=0,0,R54/J54)</f>
        <v>0.517934988685059</v>
      </c>
      <c r="T54" s="26" t="n">
        <f aca="false">INDEX($B$13:$B$25,MATCH(E54,$A$13:$A$25,0))</f>
        <v>0.7</v>
      </c>
      <c r="U54" s="18" t="n">
        <f aca="false">SUM(K54:O54)/(1-T54-Assumptions!$B$34*Assumptions!$B$35*(1+H54*$B$5))</f>
        <v>59.0818410618822</v>
      </c>
      <c r="V54" s="18" t="n">
        <f aca="false">MROUND(U54*(1+H54*$B$5),$B$6)</f>
        <v>71</v>
      </c>
      <c r="W54" s="26" t="n">
        <f aca="false">IF(I54=0,0,V54/I54-1)</f>
        <v>0.651162790697675</v>
      </c>
      <c r="X54" s="29" t="n">
        <f aca="false">MROUND(V54*3*(1-$B$7),$B$6)</f>
        <v>192</v>
      </c>
      <c r="Y54" s="29" t="n">
        <f aca="false">MROUND(V54*6*(1-$B$8),$B$6)</f>
        <v>362</v>
      </c>
      <c r="Z54" s="29" t="n">
        <f aca="false">MROUND(V54*10*(1-$B$9),$B$6)</f>
        <v>568</v>
      </c>
      <c r="AC54" s="25" t="n">
        <f aca="false">IF(OR(D54="ACTIVE",D54="CONSULTATION"),1,0)</f>
        <v>1</v>
      </c>
    </row>
    <row r="55" customFormat="false" ht="15" hidden="false" customHeight="false" outlineLevel="0" collapsed="false">
      <c r="A55" s="6" t="s">
        <v>278</v>
      </c>
      <c r="B55" s="6" t="s">
        <v>307</v>
      </c>
      <c r="C55" s="2" t="s">
        <v>280</v>
      </c>
      <c r="D55" s="2" t="s">
        <v>281</v>
      </c>
      <c r="E55" s="2" t="s">
        <v>157</v>
      </c>
      <c r="F55" s="25" t="n">
        <v>30</v>
      </c>
      <c r="G55" s="25" t="n">
        <v>30</v>
      </c>
      <c r="H55" s="26" t="n">
        <v>0.2</v>
      </c>
      <c r="I55" s="18" t="n">
        <v>58</v>
      </c>
      <c r="J55" s="18" t="n">
        <f aca="false">I55/(1+H55*$B$5)</f>
        <v>48.3333333333333</v>
      </c>
      <c r="K55" s="27" t="n">
        <v>1.5</v>
      </c>
      <c r="L55" s="18" t="n">
        <f aca="false">G55/60*Machinery!$H$5*Assumptions!$B$23/100</f>
        <v>0.135</v>
      </c>
      <c r="M55" s="18" t="n">
        <f aca="false">G55/60*Machinery!$K$5</f>
        <v>0.3</v>
      </c>
      <c r="N55" s="18" t="n">
        <f aca="false">G55/60*Machinery!$L$5</f>
        <v>0.428571428571429</v>
      </c>
      <c r="O55" s="18" t="n">
        <f aca="false">F55/60*Assumptions!$B$20</f>
        <v>17.231884057971</v>
      </c>
      <c r="P55" s="18" t="n">
        <f aca="false">I55*Assumptions!$B$34*Assumptions!$B$35</f>
        <v>0.9367</v>
      </c>
      <c r="Q55" s="18" t="n">
        <f aca="false">SUM(K55:P55)</f>
        <v>20.5321554865424</v>
      </c>
      <c r="R55" s="18" t="n">
        <f aca="false">J55-Q55</f>
        <v>27.8011778467909</v>
      </c>
      <c r="S55" s="28" t="n">
        <f aca="false">IF(J55=0,0,R55/J55)</f>
        <v>0.575196783037053</v>
      </c>
      <c r="T55" s="26" t="n">
        <f aca="false">INDEX($B$13:$B$25,MATCH(E55,$A$13:$A$25,0))</f>
        <v>0.7</v>
      </c>
      <c r="U55" s="18" t="n">
        <f aca="false">SUM(K55:O55)/(1-T55-Assumptions!$B$34*Assumptions!$B$35*(1+H55*$B$5))</f>
        <v>69.8291479101363</v>
      </c>
      <c r="V55" s="18" t="n">
        <f aca="false">MROUND(U55*(1+H55*$B$5),$B$6)</f>
        <v>84</v>
      </c>
      <c r="W55" s="26" t="n">
        <f aca="false">IF(I55=0,0,V55/I55-1)</f>
        <v>0.448275862068966</v>
      </c>
      <c r="X55" s="29" t="n">
        <f aca="false">MROUND(V55*3*(1-$B$7),$B$6)</f>
        <v>227</v>
      </c>
      <c r="Y55" s="29" t="n">
        <f aca="false">MROUND(V55*6*(1-$B$8),$B$6)</f>
        <v>428</v>
      </c>
      <c r="Z55" s="29" t="n">
        <f aca="false">MROUND(V55*10*(1-$B$9),$B$6)</f>
        <v>672</v>
      </c>
      <c r="AC55" s="25" t="n">
        <f aca="false">IF(OR(D55="ACTIVE",D55="CONSULTATION"),1,0)</f>
        <v>1</v>
      </c>
    </row>
    <row r="56" customFormat="false" ht="15" hidden="false" customHeight="false" outlineLevel="0" collapsed="false">
      <c r="A56" s="6" t="s">
        <v>278</v>
      </c>
      <c r="B56" s="6" t="s">
        <v>308</v>
      </c>
      <c r="C56" s="2" t="s">
        <v>280</v>
      </c>
      <c r="D56" s="2" t="s">
        <v>281</v>
      </c>
      <c r="E56" s="2" t="s">
        <v>157</v>
      </c>
      <c r="F56" s="25" t="n">
        <v>30</v>
      </c>
      <c r="G56" s="25" t="n">
        <v>30</v>
      </c>
      <c r="H56" s="26" t="n">
        <v>0.2</v>
      </c>
      <c r="I56" s="18" t="n">
        <v>69</v>
      </c>
      <c r="J56" s="18" t="n">
        <f aca="false">I56/(1+H56*$B$5)</f>
        <v>57.5</v>
      </c>
      <c r="K56" s="27" t="n">
        <v>1.5</v>
      </c>
      <c r="L56" s="18" t="n">
        <f aca="false">G56/60*Machinery!$H$5*Assumptions!$B$23/100</f>
        <v>0.135</v>
      </c>
      <c r="M56" s="18" t="n">
        <f aca="false">G56/60*Machinery!$K$5</f>
        <v>0.3</v>
      </c>
      <c r="N56" s="18" t="n">
        <f aca="false">G56/60*Machinery!$L$5</f>
        <v>0.428571428571429</v>
      </c>
      <c r="O56" s="18" t="n">
        <f aca="false">F56/60*Assumptions!$B$20</f>
        <v>17.231884057971</v>
      </c>
      <c r="P56" s="18" t="n">
        <f aca="false">I56*Assumptions!$B$34*Assumptions!$B$35</f>
        <v>1.11435</v>
      </c>
      <c r="Q56" s="18" t="n">
        <f aca="false">SUM(K56:P56)</f>
        <v>20.7098054865424</v>
      </c>
      <c r="R56" s="18" t="n">
        <f aca="false">J56-Q56</f>
        <v>36.7901945134576</v>
      </c>
      <c r="S56" s="28" t="n">
        <f aca="false">IF(J56=0,0,R56/J56)</f>
        <v>0.639829469799262</v>
      </c>
      <c r="T56" s="26" t="n">
        <f aca="false">INDEX($B$13:$B$25,MATCH(E56,$A$13:$A$25,0))</f>
        <v>0.7</v>
      </c>
      <c r="U56" s="18" t="n">
        <f aca="false">SUM(K56:O56)/(1-T56-Assumptions!$B$34*Assumptions!$B$35*(1+H56*$B$5))</f>
        <v>69.8291479101363</v>
      </c>
      <c r="V56" s="18" t="n">
        <f aca="false">MROUND(U56*(1+H56*$B$5),$B$6)</f>
        <v>84</v>
      </c>
      <c r="W56" s="26" t="n">
        <f aca="false">IF(I56=0,0,V56/I56-1)</f>
        <v>0.217391304347826</v>
      </c>
      <c r="X56" s="29" t="n">
        <f aca="false">MROUND(V56*3*(1-$B$7),$B$6)</f>
        <v>227</v>
      </c>
      <c r="Y56" s="29" t="n">
        <f aca="false">MROUND(V56*6*(1-$B$8),$B$6)</f>
        <v>428</v>
      </c>
      <c r="Z56" s="29" t="n">
        <f aca="false">MROUND(V56*10*(1-$B$9),$B$6)</f>
        <v>672</v>
      </c>
      <c r="AC56" s="25" t="n">
        <f aca="false">IF(OR(D56="ACTIVE",D56="CONSULTATION"),1,0)</f>
        <v>1</v>
      </c>
    </row>
    <row r="57" customFormat="false" ht="15" hidden="false" customHeight="false" outlineLevel="0" collapsed="false">
      <c r="A57" s="6" t="s">
        <v>278</v>
      </c>
      <c r="B57" s="6" t="s">
        <v>309</v>
      </c>
      <c r="C57" s="2" t="s">
        <v>280</v>
      </c>
      <c r="D57" s="2" t="s">
        <v>281</v>
      </c>
      <c r="E57" s="2" t="s">
        <v>157</v>
      </c>
      <c r="F57" s="25" t="n">
        <v>35</v>
      </c>
      <c r="G57" s="25" t="n">
        <v>35</v>
      </c>
      <c r="H57" s="26" t="n">
        <v>0.2</v>
      </c>
      <c r="I57" s="18" t="n">
        <v>87</v>
      </c>
      <c r="J57" s="18" t="n">
        <f aca="false">I57/(1+H57*$B$5)</f>
        <v>72.5</v>
      </c>
      <c r="K57" s="27" t="n">
        <v>2</v>
      </c>
      <c r="L57" s="18" t="n">
        <f aca="false">G57/60*Machinery!$H$5*Assumptions!$B$23/100</f>
        <v>0.1575</v>
      </c>
      <c r="M57" s="18" t="n">
        <f aca="false">G57/60*Machinery!$K$5</f>
        <v>0.35</v>
      </c>
      <c r="N57" s="18" t="n">
        <f aca="false">G57/60*Machinery!$L$5</f>
        <v>0.5</v>
      </c>
      <c r="O57" s="18" t="n">
        <f aca="false">F57/60*Assumptions!$B$20</f>
        <v>20.1038647342995</v>
      </c>
      <c r="P57" s="18" t="n">
        <f aca="false">I57*Assumptions!$B$34*Assumptions!$B$35</f>
        <v>1.40505</v>
      </c>
      <c r="Q57" s="18" t="n">
        <f aca="false">SUM(K57:P57)</f>
        <v>24.5164147342995</v>
      </c>
      <c r="R57" s="18" t="n">
        <f aca="false">J57-Q57</f>
        <v>47.9835852657005</v>
      </c>
      <c r="S57" s="28" t="n">
        <f aca="false">IF(J57=0,0,R57/J57)</f>
        <v>0.661842555388972</v>
      </c>
      <c r="T57" s="26" t="n">
        <f aca="false">INDEX($B$13:$B$25,MATCH(E57,$A$13:$A$25,0))</f>
        <v>0.7</v>
      </c>
      <c r="U57" s="18" t="n">
        <f aca="false">SUM(K57:O57)/(1-T57-Assumptions!$B$34*Assumptions!$B$35*(1+H57*$B$5))</f>
        <v>82.3582236985942</v>
      </c>
      <c r="V57" s="18" t="n">
        <f aca="false">MROUND(U57*(1+H57*$B$5),$B$6)</f>
        <v>99</v>
      </c>
      <c r="W57" s="26" t="n">
        <f aca="false">IF(I57=0,0,V57/I57-1)</f>
        <v>0.137931034482759</v>
      </c>
      <c r="X57" s="29" t="n">
        <f aca="false">MROUND(V57*3*(1-$B$7),$B$6)</f>
        <v>267</v>
      </c>
      <c r="Y57" s="29" t="n">
        <f aca="false">MROUND(V57*6*(1-$B$8),$B$6)</f>
        <v>505</v>
      </c>
      <c r="Z57" s="29" t="n">
        <f aca="false">MROUND(V57*10*(1-$B$9),$B$6)</f>
        <v>792</v>
      </c>
      <c r="AC57" s="25" t="n">
        <f aca="false">IF(OR(D57="ACTIVE",D57="CONSULTATION"),1,0)</f>
        <v>1</v>
      </c>
    </row>
    <row r="58" customFormat="false" ht="15" hidden="false" customHeight="false" outlineLevel="0" collapsed="false">
      <c r="A58" s="6" t="s">
        <v>278</v>
      </c>
      <c r="B58" s="6" t="s">
        <v>310</v>
      </c>
      <c r="C58" s="2" t="s">
        <v>280</v>
      </c>
      <c r="D58" s="2" t="s">
        <v>281</v>
      </c>
      <c r="E58" s="2" t="s">
        <v>157</v>
      </c>
      <c r="F58" s="25" t="n">
        <v>35</v>
      </c>
      <c r="G58" s="25" t="n">
        <v>35</v>
      </c>
      <c r="H58" s="26" t="n">
        <v>0.2</v>
      </c>
      <c r="I58" s="18" t="n">
        <v>104</v>
      </c>
      <c r="J58" s="18" t="n">
        <f aca="false">I58/(1+H58*$B$5)</f>
        <v>86.6666666666667</v>
      </c>
      <c r="K58" s="27" t="n">
        <v>2</v>
      </c>
      <c r="L58" s="18" t="n">
        <f aca="false">G58/60*Machinery!$H$5*Assumptions!$B$23/100</f>
        <v>0.1575</v>
      </c>
      <c r="M58" s="18" t="n">
        <f aca="false">G58/60*Machinery!$K$5</f>
        <v>0.35</v>
      </c>
      <c r="N58" s="18" t="n">
        <f aca="false">G58/60*Machinery!$L$5</f>
        <v>0.5</v>
      </c>
      <c r="O58" s="18" t="n">
        <f aca="false">F58/60*Assumptions!$B$20</f>
        <v>20.1038647342995</v>
      </c>
      <c r="P58" s="18" t="n">
        <f aca="false">I58*Assumptions!$B$34*Assumptions!$B$35</f>
        <v>1.6796</v>
      </c>
      <c r="Q58" s="18" t="n">
        <f aca="false">SUM(K58:P58)</f>
        <v>24.7909647342995</v>
      </c>
      <c r="R58" s="18" t="n">
        <f aca="false">J58-Q58</f>
        <v>61.8757019323672</v>
      </c>
      <c r="S58" s="28" t="n">
        <f aca="false">IF(J58=0,0,R58/J58)</f>
        <v>0.713950406911929</v>
      </c>
      <c r="T58" s="26" t="n">
        <f aca="false">INDEX($B$13:$B$25,MATCH(E58,$A$13:$A$25,0))</f>
        <v>0.7</v>
      </c>
      <c r="U58" s="18" t="n">
        <f aca="false">SUM(K58:O58)/(1-T58-Assumptions!$B$34*Assumptions!$B$35*(1+H58*$B$5))</f>
        <v>82.3582236985942</v>
      </c>
      <c r="V58" s="18" t="n">
        <f aca="false">MROUND(U58*(1+H58*$B$5),$B$6)</f>
        <v>99</v>
      </c>
      <c r="W58" s="26" t="n">
        <f aca="false">IF(I58=0,0,V58/I58-1)</f>
        <v>-0.0480769230769231</v>
      </c>
      <c r="X58" s="29" t="n">
        <f aca="false">MROUND(V58*3*(1-$B$7),$B$6)</f>
        <v>267</v>
      </c>
      <c r="Y58" s="29" t="n">
        <f aca="false">MROUND(V58*6*(1-$B$8),$B$6)</f>
        <v>505</v>
      </c>
      <c r="Z58" s="29" t="n">
        <f aca="false">MROUND(V58*10*(1-$B$9),$B$6)</f>
        <v>792</v>
      </c>
      <c r="AC58" s="25" t="n">
        <f aca="false">IF(OR(D58="ACTIVE",D58="CONSULTATION"),1,0)</f>
        <v>1</v>
      </c>
    </row>
    <row r="59" customFormat="false" ht="15" hidden="false" customHeight="false" outlineLevel="0" collapsed="false">
      <c r="A59" s="6" t="s">
        <v>278</v>
      </c>
      <c r="B59" s="6" t="s">
        <v>311</v>
      </c>
      <c r="C59" s="2" t="s">
        <v>280</v>
      </c>
      <c r="D59" s="2" t="s">
        <v>281</v>
      </c>
      <c r="E59" s="2" t="s">
        <v>157</v>
      </c>
      <c r="F59" s="25" t="n">
        <v>20</v>
      </c>
      <c r="G59" s="25" t="n">
        <v>20</v>
      </c>
      <c r="H59" s="26" t="n">
        <v>0.2</v>
      </c>
      <c r="I59" s="18" t="n">
        <v>23</v>
      </c>
      <c r="J59" s="18" t="n">
        <f aca="false">I59/(1+H59*$B$5)</f>
        <v>19.1666666666667</v>
      </c>
      <c r="K59" s="27" t="n">
        <v>1</v>
      </c>
      <c r="L59" s="18" t="n">
        <f aca="false">G59/60*Machinery!$H$5*Assumptions!$B$23/100</f>
        <v>0.09</v>
      </c>
      <c r="M59" s="18" t="n">
        <f aca="false">G59/60*Machinery!$K$5</f>
        <v>0.2</v>
      </c>
      <c r="N59" s="18" t="n">
        <f aca="false">G59/60*Machinery!$L$5</f>
        <v>0.285714285714286</v>
      </c>
      <c r="O59" s="18" t="n">
        <f aca="false">F59/60*Assumptions!$B$20</f>
        <v>11.487922705314</v>
      </c>
      <c r="P59" s="18" t="n">
        <f aca="false">I59*Assumptions!$B$34*Assumptions!$B$35</f>
        <v>0.37145</v>
      </c>
      <c r="Q59" s="18" t="n">
        <f aca="false">SUM(K59:P59)</f>
        <v>13.4350869910283</v>
      </c>
      <c r="R59" s="18" t="n">
        <f aca="false">J59-Q59</f>
        <v>5.73157967563837</v>
      </c>
      <c r="S59" s="28" t="n">
        <f aca="false">IF(J59=0,0,R59/J59)</f>
        <v>0.299038939598524</v>
      </c>
      <c r="T59" s="26" t="n">
        <f aca="false">INDEX($B$13:$B$25,MATCH(E59,$A$13:$A$25,0))</f>
        <v>0.7</v>
      </c>
      <c r="U59" s="18" t="n">
        <f aca="false">SUM(K59:O59)/(1-T59-Assumptions!$B$34*Assumptions!$B$35*(1+H59*$B$5))</f>
        <v>46.5527652734242</v>
      </c>
      <c r="V59" s="18" t="n">
        <f aca="false">MROUND(U59*(1+H59*$B$5),$B$6)</f>
        <v>56</v>
      </c>
      <c r="W59" s="26" t="n">
        <f aca="false">IF(I59=0,0,V59/I59-1)</f>
        <v>1.43478260869565</v>
      </c>
      <c r="X59" s="29" t="n">
        <f aca="false">MROUND(V59*3*(1-$B$7),$B$6)</f>
        <v>151</v>
      </c>
      <c r="Y59" s="29" t="n">
        <f aca="false">MROUND(V59*6*(1-$B$8),$B$6)</f>
        <v>286</v>
      </c>
      <c r="Z59" s="29" t="n">
        <f aca="false">MROUND(V59*10*(1-$B$9),$B$6)</f>
        <v>448</v>
      </c>
      <c r="AC59" s="25" t="n">
        <f aca="false">IF(OR(D59="ACTIVE",D59="CONSULTATION"),1,0)</f>
        <v>1</v>
      </c>
    </row>
    <row r="60" customFormat="false" ht="15" hidden="false" customHeight="false" outlineLevel="0" collapsed="false">
      <c r="A60" s="6" t="s">
        <v>278</v>
      </c>
      <c r="B60" s="6" t="s">
        <v>312</v>
      </c>
      <c r="C60" s="2" t="s">
        <v>280</v>
      </c>
      <c r="D60" s="2" t="s">
        <v>281</v>
      </c>
      <c r="E60" s="2" t="s">
        <v>157</v>
      </c>
      <c r="F60" s="25" t="n">
        <v>20</v>
      </c>
      <c r="G60" s="25" t="n">
        <v>20</v>
      </c>
      <c r="H60" s="26" t="n">
        <v>0.2</v>
      </c>
      <c r="I60" s="18" t="n">
        <v>15</v>
      </c>
      <c r="J60" s="18" t="n">
        <f aca="false">I60/(1+H60*$B$5)</f>
        <v>12.5</v>
      </c>
      <c r="K60" s="27" t="n">
        <v>1</v>
      </c>
      <c r="L60" s="18" t="n">
        <f aca="false">G60/60*Machinery!$H$5*Assumptions!$B$23/100</f>
        <v>0.09</v>
      </c>
      <c r="M60" s="18" t="n">
        <f aca="false">G60/60*Machinery!$K$5</f>
        <v>0.2</v>
      </c>
      <c r="N60" s="18" t="n">
        <f aca="false">G60/60*Machinery!$L$5</f>
        <v>0.285714285714286</v>
      </c>
      <c r="O60" s="18" t="n">
        <f aca="false">F60/60*Assumptions!$B$20</f>
        <v>11.487922705314</v>
      </c>
      <c r="P60" s="18" t="n">
        <f aca="false">I60*Assumptions!$B$34*Assumptions!$B$35</f>
        <v>0.24225</v>
      </c>
      <c r="Q60" s="18" t="n">
        <f aca="false">SUM(K60:P60)</f>
        <v>13.3058869910283</v>
      </c>
      <c r="R60" s="18" t="n">
        <f aca="false">J60-Q60</f>
        <v>-0.805886991028295</v>
      </c>
      <c r="S60" s="28" t="n">
        <f aca="false">IF(J60=0,0,R60/J60)</f>
        <v>-0.0644709592822636</v>
      </c>
      <c r="T60" s="26" t="n">
        <f aca="false">INDEX($B$13:$B$25,MATCH(E60,$A$13:$A$25,0))</f>
        <v>0.7</v>
      </c>
      <c r="U60" s="18" t="n">
        <f aca="false">SUM(K60:O60)/(1-T60-Assumptions!$B$34*Assumptions!$B$35*(1+H60*$B$5))</f>
        <v>46.5527652734242</v>
      </c>
      <c r="V60" s="18" t="n">
        <f aca="false">MROUND(U60*(1+H60*$B$5),$B$6)</f>
        <v>56</v>
      </c>
      <c r="W60" s="26" t="n">
        <f aca="false">IF(I60=0,0,V60/I60-1)</f>
        <v>2.73333333333333</v>
      </c>
      <c r="X60" s="29" t="n">
        <f aca="false">MROUND(V60*3*(1-$B$7),$B$6)</f>
        <v>151</v>
      </c>
      <c r="Y60" s="29" t="n">
        <f aca="false">MROUND(V60*6*(1-$B$8),$B$6)</f>
        <v>286</v>
      </c>
      <c r="Z60" s="29" t="n">
        <f aca="false">MROUND(V60*10*(1-$B$9),$B$6)</f>
        <v>448</v>
      </c>
      <c r="AC60" s="25" t="n">
        <f aca="false">IF(OR(D60="ACTIVE",D60="CONSULTATION"),1,0)</f>
        <v>1</v>
      </c>
    </row>
    <row r="61" customFormat="false" ht="15" hidden="false" customHeight="false" outlineLevel="0" collapsed="false">
      <c r="A61" s="6" t="s">
        <v>278</v>
      </c>
      <c r="B61" s="6" t="s">
        <v>313</v>
      </c>
      <c r="C61" s="2" t="s">
        <v>280</v>
      </c>
      <c r="D61" s="2" t="s">
        <v>281</v>
      </c>
      <c r="E61" s="2" t="s">
        <v>157</v>
      </c>
      <c r="F61" s="25" t="n">
        <v>20</v>
      </c>
      <c r="G61" s="25" t="n">
        <v>20</v>
      </c>
      <c r="H61" s="26" t="n">
        <v>0.2</v>
      </c>
      <c r="I61" s="18" t="n">
        <v>45</v>
      </c>
      <c r="J61" s="18" t="n">
        <f aca="false">I61/(1+H61*$B$5)</f>
        <v>37.5</v>
      </c>
      <c r="K61" s="27" t="n">
        <v>1.5</v>
      </c>
      <c r="L61" s="18" t="n">
        <f aca="false">G61/60*Machinery!$H$5*Assumptions!$B$23/100</f>
        <v>0.09</v>
      </c>
      <c r="M61" s="18" t="n">
        <f aca="false">G61/60*Machinery!$K$5</f>
        <v>0.2</v>
      </c>
      <c r="N61" s="18" t="n">
        <f aca="false">G61/60*Machinery!$L$5</f>
        <v>0.285714285714286</v>
      </c>
      <c r="O61" s="18" t="n">
        <f aca="false">F61/60*Assumptions!$B$20</f>
        <v>11.487922705314</v>
      </c>
      <c r="P61" s="18" t="n">
        <f aca="false">I61*Assumptions!$B$34*Assumptions!$B$35</f>
        <v>0.72675</v>
      </c>
      <c r="Q61" s="18" t="n">
        <f aca="false">SUM(K61:P61)</f>
        <v>14.2903869910283</v>
      </c>
      <c r="R61" s="18" t="n">
        <f aca="false">J61-Q61</f>
        <v>23.2096130089717</v>
      </c>
      <c r="S61" s="28" t="n">
        <f aca="false">IF(J61=0,0,R61/J61)</f>
        <v>0.618923013572579</v>
      </c>
      <c r="T61" s="26" t="n">
        <f aca="false">INDEX($B$13:$B$25,MATCH(E61,$A$13:$A$25,0))</f>
        <v>0.7</v>
      </c>
      <c r="U61" s="18" t="n">
        <f aca="false">SUM(K61:O61)/(1-T61-Assumptions!$B$34*Assumptions!$B$35*(1+H61*$B$5))</f>
        <v>48.334534213628</v>
      </c>
      <c r="V61" s="18" t="n">
        <f aca="false">MROUND(U61*(1+H61*$B$5),$B$6)</f>
        <v>58</v>
      </c>
      <c r="W61" s="26" t="n">
        <f aca="false">IF(I61=0,0,V61/I61-1)</f>
        <v>0.288888888888889</v>
      </c>
      <c r="X61" s="29" t="n">
        <f aca="false">MROUND(V61*3*(1-$B$7),$B$6)</f>
        <v>157</v>
      </c>
      <c r="Y61" s="29" t="n">
        <f aca="false">MROUND(V61*6*(1-$B$8),$B$6)</f>
        <v>296</v>
      </c>
      <c r="Z61" s="29" t="n">
        <f aca="false">MROUND(V61*10*(1-$B$9),$B$6)</f>
        <v>464</v>
      </c>
      <c r="AC61" s="25" t="n">
        <f aca="false">IF(OR(D61="ACTIVE",D61="CONSULTATION"),1,0)</f>
        <v>1</v>
      </c>
    </row>
    <row r="62" customFormat="false" ht="15" hidden="false" customHeight="false" outlineLevel="0" collapsed="false">
      <c r="A62" s="6" t="s">
        <v>278</v>
      </c>
      <c r="B62" s="6" t="s">
        <v>314</v>
      </c>
      <c r="C62" s="2" t="s">
        <v>280</v>
      </c>
      <c r="D62" s="2" t="s">
        <v>281</v>
      </c>
      <c r="E62" s="2" t="s">
        <v>157</v>
      </c>
      <c r="F62" s="25" t="n">
        <v>50</v>
      </c>
      <c r="G62" s="25" t="n">
        <v>50</v>
      </c>
      <c r="H62" s="26" t="n">
        <v>0.2</v>
      </c>
      <c r="I62" s="18" t="n">
        <v>140</v>
      </c>
      <c r="J62" s="18" t="n">
        <f aca="false">I62/(1+H62*$B$5)</f>
        <v>116.666666666667</v>
      </c>
      <c r="K62" s="27" t="n">
        <v>2.5</v>
      </c>
      <c r="L62" s="18" t="n">
        <f aca="false">G62/60*Machinery!$H$5*Assumptions!$B$23/100</f>
        <v>0.225</v>
      </c>
      <c r="M62" s="18" t="n">
        <f aca="false">G62/60*Machinery!$K$5</f>
        <v>0.5</v>
      </c>
      <c r="N62" s="18" t="n">
        <f aca="false">G62/60*Machinery!$L$5</f>
        <v>0.714285714285714</v>
      </c>
      <c r="O62" s="18" t="n">
        <f aca="false">F62/60*Assumptions!$B$20</f>
        <v>28.719806763285</v>
      </c>
      <c r="P62" s="18" t="n">
        <f aca="false">I62*Assumptions!$B$34*Assumptions!$B$35</f>
        <v>2.261</v>
      </c>
      <c r="Q62" s="18" t="n">
        <f aca="false">SUM(K62:P62)</f>
        <v>34.9200924775708</v>
      </c>
      <c r="R62" s="18" t="n">
        <f aca="false">J62-Q62</f>
        <v>81.7465741890959</v>
      </c>
      <c r="S62" s="28" t="n">
        <f aca="false">IF(J62=0,0,R62/J62)</f>
        <v>0.700684921620822</v>
      </c>
      <c r="T62" s="26" t="n">
        <f aca="false">INDEX($B$13:$B$25,MATCH(E62,$A$13:$A$25,0))</f>
        <v>0.7</v>
      </c>
      <c r="U62" s="18" t="n">
        <f aca="false">SUM(K62:O62)/(1-T62-Assumptions!$B$34*Assumptions!$B$35*(1+H62*$B$5))</f>
        <v>116.38191318356</v>
      </c>
      <c r="V62" s="18" t="n">
        <f aca="false">MROUND(U62*(1+H62*$B$5),$B$6)</f>
        <v>140</v>
      </c>
      <c r="W62" s="26" t="n">
        <f aca="false">IF(I62=0,0,V62/I62-1)</f>
        <v>0</v>
      </c>
      <c r="X62" s="29" t="n">
        <f aca="false">MROUND(V62*3*(1-$B$7),$B$6)</f>
        <v>378</v>
      </c>
      <c r="Y62" s="29" t="n">
        <f aca="false">MROUND(V62*6*(1-$B$8),$B$6)</f>
        <v>714</v>
      </c>
      <c r="Z62" s="29" t="n">
        <f aca="false">MROUND(V62*10*(1-$B$9),$B$6)</f>
        <v>1120</v>
      </c>
      <c r="AC62" s="25" t="n">
        <f aca="false">IF(OR(D62="ACTIVE",D62="CONSULTATION"),1,0)</f>
        <v>1</v>
      </c>
    </row>
    <row r="63" customFormat="false" ht="15" hidden="false" customHeight="false" outlineLevel="0" collapsed="false">
      <c r="A63" s="6" t="s">
        <v>278</v>
      </c>
      <c r="B63" s="6" t="s">
        <v>315</v>
      </c>
      <c r="C63" s="2" t="s">
        <v>280</v>
      </c>
      <c r="D63" s="2" t="s">
        <v>281</v>
      </c>
      <c r="E63" s="2" t="s">
        <v>157</v>
      </c>
      <c r="F63" s="25" t="n">
        <v>30</v>
      </c>
      <c r="G63" s="25" t="n">
        <v>30</v>
      </c>
      <c r="H63" s="26" t="n">
        <v>0.2</v>
      </c>
      <c r="I63" s="18" t="n">
        <v>84</v>
      </c>
      <c r="J63" s="18" t="n">
        <f aca="false">I63/(1+H63*$B$5)</f>
        <v>70</v>
      </c>
      <c r="K63" s="27" t="n">
        <v>1.5</v>
      </c>
      <c r="L63" s="18" t="n">
        <f aca="false">G63/60*Machinery!$H$5*Assumptions!$B$23/100</f>
        <v>0.135</v>
      </c>
      <c r="M63" s="18" t="n">
        <f aca="false">G63/60*Machinery!$K$5</f>
        <v>0.3</v>
      </c>
      <c r="N63" s="18" t="n">
        <f aca="false">G63/60*Machinery!$L$5</f>
        <v>0.428571428571429</v>
      </c>
      <c r="O63" s="18" t="n">
        <f aca="false">F63/60*Assumptions!$B$20</f>
        <v>17.231884057971</v>
      </c>
      <c r="P63" s="18" t="n">
        <f aca="false">I63*Assumptions!$B$34*Assumptions!$B$35</f>
        <v>1.3566</v>
      </c>
      <c r="Q63" s="18" t="n">
        <f aca="false">SUM(K63:P63)</f>
        <v>20.9520554865424</v>
      </c>
      <c r="R63" s="18" t="n">
        <f aca="false">J63-Q63</f>
        <v>49.0479445134576</v>
      </c>
      <c r="S63" s="28" t="n">
        <f aca="false">IF(J63=0,0,R63/J63)</f>
        <v>0.700684921620822</v>
      </c>
      <c r="T63" s="26" t="n">
        <f aca="false">INDEX($B$13:$B$25,MATCH(E63,$A$13:$A$25,0))</f>
        <v>0.7</v>
      </c>
      <c r="U63" s="18" t="n">
        <f aca="false">SUM(K63:O63)/(1-T63-Assumptions!$B$34*Assumptions!$B$35*(1+H63*$B$5))</f>
        <v>69.8291479101363</v>
      </c>
      <c r="V63" s="18" t="n">
        <f aca="false">MROUND(U63*(1+H63*$B$5),$B$6)</f>
        <v>84</v>
      </c>
      <c r="W63" s="26" t="n">
        <f aca="false">IF(I63=0,0,V63/I63-1)</f>
        <v>0</v>
      </c>
      <c r="X63" s="29" t="n">
        <f aca="false">MROUND(V63*3*(1-$B$7),$B$6)</f>
        <v>227</v>
      </c>
      <c r="Y63" s="29" t="n">
        <f aca="false">MROUND(V63*6*(1-$B$8),$B$6)</f>
        <v>428</v>
      </c>
      <c r="Z63" s="29" t="n">
        <f aca="false">MROUND(V63*10*(1-$B$9),$B$6)</f>
        <v>672</v>
      </c>
      <c r="AC63" s="25" t="n">
        <f aca="false">IF(OR(D63="ACTIVE",D63="CONSULTATION"),1,0)</f>
        <v>1</v>
      </c>
    </row>
    <row r="64" customFormat="false" ht="15" hidden="false" customHeight="false" outlineLevel="0" collapsed="false">
      <c r="A64" s="6" t="s">
        <v>278</v>
      </c>
      <c r="B64" s="6" t="s">
        <v>316</v>
      </c>
      <c r="C64" s="2" t="s">
        <v>280</v>
      </c>
      <c r="D64" s="2" t="s">
        <v>281</v>
      </c>
      <c r="E64" s="2" t="s">
        <v>157</v>
      </c>
      <c r="F64" s="25" t="n">
        <v>40</v>
      </c>
      <c r="G64" s="25" t="n">
        <v>40</v>
      </c>
      <c r="H64" s="26" t="n">
        <v>0.2</v>
      </c>
      <c r="I64" s="18" t="n">
        <v>101</v>
      </c>
      <c r="J64" s="18" t="n">
        <f aca="false">I64/(1+H64*$B$5)</f>
        <v>84.1666666666667</v>
      </c>
      <c r="K64" s="27" t="n">
        <v>2</v>
      </c>
      <c r="L64" s="18" t="n">
        <f aca="false">G64/60*Machinery!$H$5*Assumptions!$B$23/100</f>
        <v>0.18</v>
      </c>
      <c r="M64" s="18" t="n">
        <f aca="false">G64/60*Machinery!$K$5</f>
        <v>0.4</v>
      </c>
      <c r="N64" s="18" t="n">
        <f aca="false">G64/60*Machinery!$L$5</f>
        <v>0.571428571428571</v>
      </c>
      <c r="O64" s="18" t="n">
        <f aca="false">F64/60*Assumptions!$B$20</f>
        <v>22.975845410628</v>
      </c>
      <c r="P64" s="18" t="n">
        <f aca="false">I64*Assumptions!$B$34*Assumptions!$B$35</f>
        <v>1.63115</v>
      </c>
      <c r="Q64" s="18" t="n">
        <f aca="false">SUM(K64:P64)</f>
        <v>27.7584239820566</v>
      </c>
      <c r="R64" s="18" t="n">
        <f aca="false">J64-Q64</f>
        <v>56.4082426846101</v>
      </c>
      <c r="S64" s="28" t="n">
        <f aca="false">IF(J64=0,0,R64/J64)</f>
        <v>0.670196942787447</v>
      </c>
      <c r="T64" s="26" t="n">
        <f aca="false">INDEX($B$13:$B$25,MATCH(E64,$A$13:$A$25,0))</f>
        <v>0.7</v>
      </c>
      <c r="U64" s="18" t="n">
        <f aca="false">SUM(K64:O64)/(1-T64-Assumptions!$B$34*Assumptions!$B$35*(1+H64*$B$5))</f>
        <v>93.1055305468484</v>
      </c>
      <c r="V64" s="18" t="n">
        <f aca="false">MROUND(U64*(1+H64*$B$5),$B$6)</f>
        <v>112</v>
      </c>
      <c r="W64" s="26" t="n">
        <f aca="false">IF(I64=0,0,V64/I64-1)</f>
        <v>0.108910891089109</v>
      </c>
      <c r="X64" s="29" t="n">
        <f aca="false">MROUND(V64*3*(1-$B$7),$B$6)</f>
        <v>302</v>
      </c>
      <c r="Y64" s="29" t="n">
        <f aca="false">MROUND(V64*6*(1-$B$8),$B$6)</f>
        <v>571</v>
      </c>
      <c r="Z64" s="29" t="n">
        <f aca="false">MROUND(V64*10*(1-$B$9),$B$6)</f>
        <v>896</v>
      </c>
      <c r="AC64" s="25" t="n">
        <f aca="false">IF(OR(D64="ACTIVE",D64="CONSULTATION"),1,0)</f>
        <v>1</v>
      </c>
    </row>
    <row r="65" customFormat="false" ht="15" hidden="false" customHeight="false" outlineLevel="0" collapsed="false">
      <c r="A65" s="6" t="s">
        <v>278</v>
      </c>
      <c r="B65" s="6" t="s">
        <v>317</v>
      </c>
      <c r="C65" s="2" t="s">
        <v>280</v>
      </c>
      <c r="D65" s="2" t="s">
        <v>281</v>
      </c>
      <c r="E65" s="2" t="s">
        <v>157</v>
      </c>
      <c r="F65" s="25" t="n">
        <v>60</v>
      </c>
      <c r="G65" s="25" t="n">
        <v>60</v>
      </c>
      <c r="H65" s="26" t="n">
        <v>0.2</v>
      </c>
      <c r="I65" s="18" t="n">
        <v>218</v>
      </c>
      <c r="J65" s="18" t="n">
        <f aca="false">I65/(1+H65*$B$5)</f>
        <v>181.666666666667</v>
      </c>
      <c r="K65" s="27" t="n">
        <v>3</v>
      </c>
      <c r="L65" s="18" t="n">
        <f aca="false">G65/60*Machinery!$H$5*Assumptions!$B$23/100</f>
        <v>0.27</v>
      </c>
      <c r="M65" s="18" t="n">
        <f aca="false">G65/60*Machinery!$K$5</f>
        <v>0.6</v>
      </c>
      <c r="N65" s="18" t="n">
        <f aca="false">G65/60*Machinery!$L$5</f>
        <v>0.857142857142857</v>
      </c>
      <c r="O65" s="18" t="n">
        <f aca="false">F65/60*Assumptions!$B$20</f>
        <v>34.463768115942</v>
      </c>
      <c r="P65" s="18" t="n">
        <f aca="false">I65*Assumptions!$B$34*Assumptions!$B$35</f>
        <v>3.5207</v>
      </c>
      <c r="Q65" s="18" t="n">
        <f aca="false">SUM(K65:P65)</f>
        <v>42.7116109730849</v>
      </c>
      <c r="R65" s="18" t="n">
        <f aca="false">J65-Q65</f>
        <v>138.955055693582</v>
      </c>
      <c r="S65" s="28" t="n">
        <f aca="false">IF(J65=0,0,R65/J65)</f>
        <v>0.764890214827056</v>
      </c>
      <c r="T65" s="26" t="n">
        <f aca="false">INDEX($B$13:$B$25,MATCH(E65,$A$13:$A$25,0))</f>
        <v>0.7</v>
      </c>
      <c r="U65" s="18" t="n">
        <f aca="false">SUM(K65:O65)/(1-T65-Assumptions!$B$34*Assumptions!$B$35*(1+H65*$B$5))</f>
        <v>139.658295820273</v>
      </c>
      <c r="V65" s="18" t="n">
        <f aca="false">MROUND(U65*(1+H65*$B$5),$B$6)</f>
        <v>168</v>
      </c>
      <c r="W65" s="26" t="n">
        <f aca="false">IF(I65=0,0,V65/I65-1)</f>
        <v>-0.229357798165138</v>
      </c>
      <c r="X65" s="29" t="n">
        <f aca="false">MROUND(V65*3*(1-$B$7),$B$6)</f>
        <v>454</v>
      </c>
      <c r="Y65" s="29" t="n">
        <f aca="false">MROUND(V65*6*(1-$B$8),$B$6)</f>
        <v>857</v>
      </c>
      <c r="Z65" s="29" t="n">
        <f aca="false">MROUND(V65*10*(1-$B$9),$B$6)</f>
        <v>1344</v>
      </c>
      <c r="AC65" s="25" t="n">
        <f aca="false">IF(OR(D65="ACTIVE",D65="CONSULTATION"),1,0)</f>
        <v>1</v>
      </c>
    </row>
    <row r="66" customFormat="false" ht="15" hidden="false" customHeight="false" outlineLevel="0" collapsed="false">
      <c r="A66" s="6" t="s">
        <v>318</v>
      </c>
      <c r="B66" s="6" t="s">
        <v>319</v>
      </c>
      <c r="C66" s="2" t="s">
        <v>280</v>
      </c>
      <c r="D66" s="2" t="s">
        <v>320</v>
      </c>
      <c r="E66" s="2" t="s">
        <v>157</v>
      </c>
      <c r="F66" s="25" t="n">
        <v>20</v>
      </c>
      <c r="G66" s="25" t="n">
        <v>20</v>
      </c>
      <c r="H66" s="26" t="n">
        <v>0.2</v>
      </c>
      <c r="I66" s="18" t="n">
        <v>17</v>
      </c>
      <c r="J66" s="18" t="n">
        <f aca="false">I66/(1+H66*$B$5)</f>
        <v>14.1666666666667</v>
      </c>
      <c r="K66" s="27" t="n">
        <v>1</v>
      </c>
      <c r="L66" s="18" t="n">
        <f aca="false">G66/60*Machinery!$H$5*Assumptions!$B$23/100</f>
        <v>0.09</v>
      </c>
      <c r="M66" s="18" t="n">
        <f aca="false">G66/60*Machinery!$K$5</f>
        <v>0.2</v>
      </c>
      <c r="N66" s="18" t="n">
        <f aca="false">G66/60*Machinery!$L$5</f>
        <v>0.285714285714286</v>
      </c>
      <c r="O66" s="18" t="n">
        <f aca="false">F66/60*Assumptions!$B$20</f>
        <v>11.487922705314</v>
      </c>
      <c r="P66" s="18" t="n">
        <f aca="false">I66*Assumptions!$B$34*Assumptions!$B$35</f>
        <v>0.27455</v>
      </c>
      <c r="Q66" s="18" t="n">
        <f aca="false">SUM(K66:P66)</f>
        <v>13.3381869910283</v>
      </c>
      <c r="R66" s="18" t="n">
        <f aca="false">J66-Q66</f>
        <v>0.828479675638373</v>
      </c>
      <c r="S66" s="28" t="n">
        <f aca="false">IF(J66=0,0,R66/J66)</f>
        <v>0.0584809182803558</v>
      </c>
      <c r="T66" s="26" t="n">
        <f aca="false">INDEX($B$13:$B$25,MATCH(E66,$A$13:$A$25,0))</f>
        <v>0.7</v>
      </c>
      <c r="U66" s="18" t="n">
        <f aca="false">SUM(K66:O66)/(1-T66-Assumptions!$B$34*Assumptions!$B$35*(1+H66*$B$5))</f>
        <v>46.5527652734242</v>
      </c>
      <c r="V66" s="18" t="n">
        <f aca="false">MROUND(U66*(1+H66*$B$5),$B$6)</f>
        <v>56</v>
      </c>
      <c r="W66" s="26" t="n">
        <f aca="false">IF(I66=0,0,V66/I66-1)</f>
        <v>2.29411764705882</v>
      </c>
      <c r="X66" s="29" t="n">
        <f aca="false">MROUND(V66*3*(1-$B$7),$B$6)</f>
        <v>151</v>
      </c>
      <c r="Y66" s="29" t="n">
        <f aca="false">MROUND(V66*6*(1-$B$8),$B$6)</f>
        <v>286</v>
      </c>
      <c r="Z66" s="29" t="n">
        <f aca="false">MROUND(V66*10*(1-$B$9),$B$6)</f>
        <v>448</v>
      </c>
      <c r="AC66" s="25" t="n">
        <f aca="false">IF(OR(D66="ACTIVE",D66="CONSULTATION"),1,0)</f>
        <v>1</v>
      </c>
    </row>
    <row r="67" customFormat="false" ht="15" hidden="false" customHeight="false" outlineLevel="0" collapsed="false">
      <c r="A67" s="6" t="s">
        <v>318</v>
      </c>
      <c r="B67" s="6" t="s">
        <v>299</v>
      </c>
      <c r="C67" s="2" t="s">
        <v>280</v>
      </c>
      <c r="D67" s="2" t="s">
        <v>320</v>
      </c>
      <c r="E67" s="2" t="s">
        <v>157</v>
      </c>
      <c r="F67" s="25" t="n">
        <v>20</v>
      </c>
      <c r="G67" s="25" t="n">
        <v>20</v>
      </c>
      <c r="H67" s="26" t="n">
        <v>0.2</v>
      </c>
      <c r="I67" s="18" t="n">
        <v>57</v>
      </c>
      <c r="J67" s="18" t="n">
        <f aca="false">I67/(1+H67*$B$5)</f>
        <v>47.5</v>
      </c>
      <c r="K67" s="27" t="n">
        <v>1.5</v>
      </c>
      <c r="L67" s="18" t="n">
        <f aca="false">G67/60*Machinery!$H$5*Assumptions!$B$23/100</f>
        <v>0.09</v>
      </c>
      <c r="M67" s="18" t="n">
        <f aca="false">G67/60*Machinery!$K$5</f>
        <v>0.2</v>
      </c>
      <c r="N67" s="18" t="n">
        <f aca="false">G67/60*Machinery!$L$5</f>
        <v>0.285714285714286</v>
      </c>
      <c r="O67" s="18" t="n">
        <f aca="false">F67/60*Assumptions!$B$20</f>
        <v>11.487922705314</v>
      </c>
      <c r="P67" s="18" t="n">
        <f aca="false">I67*Assumptions!$B$34*Assumptions!$B$35</f>
        <v>0.92055</v>
      </c>
      <c r="Q67" s="18" t="n">
        <f aca="false">SUM(K67:P67)</f>
        <v>14.4841869910283</v>
      </c>
      <c r="R67" s="18" t="n">
        <f aca="false">J67-Q67</f>
        <v>33.0158130089717</v>
      </c>
      <c r="S67" s="28" t="n">
        <f aca="false">IF(J67=0,0,R67/J67)</f>
        <v>0.695069747557299</v>
      </c>
      <c r="T67" s="26" t="n">
        <f aca="false">INDEX($B$13:$B$25,MATCH(E67,$A$13:$A$25,0))</f>
        <v>0.7</v>
      </c>
      <c r="U67" s="18" t="n">
        <f aca="false">SUM(K67:O67)/(1-T67-Assumptions!$B$34*Assumptions!$B$35*(1+H67*$B$5))</f>
        <v>48.334534213628</v>
      </c>
      <c r="V67" s="18" t="n">
        <f aca="false">MROUND(U67*(1+H67*$B$5),$B$6)</f>
        <v>58</v>
      </c>
      <c r="W67" s="26" t="n">
        <f aca="false">IF(I67=0,0,V67/I67-1)</f>
        <v>0.0175438596491229</v>
      </c>
      <c r="X67" s="29" t="n">
        <f aca="false">MROUND(V67*3*(1-$B$7),$B$6)</f>
        <v>157</v>
      </c>
      <c r="Y67" s="29" t="n">
        <f aca="false">MROUND(V67*6*(1-$B$8),$B$6)</f>
        <v>296</v>
      </c>
      <c r="Z67" s="29" t="n">
        <f aca="false">MROUND(V67*10*(1-$B$9),$B$6)</f>
        <v>464</v>
      </c>
      <c r="AC67" s="25" t="n">
        <f aca="false">IF(OR(D67="ACTIVE",D67="CONSULTATION"),1,0)</f>
        <v>1</v>
      </c>
    </row>
    <row r="68" customFormat="false" ht="15" hidden="false" customHeight="false" outlineLevel="0" collapsed="false">
      <c r="A68" s="6" t="s">
        <v>318</v>
      </c>
      <c r="B68" s="6" t="s">
        <v>300</v>
      </c>
      <c r="C68" s="2" t="s">
        <v>280</v>
      </c>
      <c r="D68" s="2" t="s">
        <v>320</v>
      </c>
      <c r="E68" s="2" t="s">
        <v>157</v>
      </c>
      <c r="F68" s="25" t="n">
        <v>20</v>
      </c>
      <c r="G68" s="25" t="n">
        <v>20</v>
      </c>
      <c r="H68" s="26" t="n">
        <v>0.2</v>
      </c>
      <c r="I68" s="18" t="n">
        <v>57</v>
      </c>
      <c r="J68" s="18" t="n">
        <f aca="false">I68/(1+H68*$B$5)</f>
        <v>47.5</v>
      </c>
      <c r="K68" s="27" t="n">
        <v>1.5</v>
      </c>
      <c r="L68" s="18" t="n">
        <f aca="false">G68/60*Machinery!$H$5*Assumptions!$B$23/100</f>
        <v>0.09</v>
      </c>
      <c r="M68" s="18" t="n">
        <f aca="false">G68/60*Machinery!$K$5</f>
        <v>0.2</v>
      </c>
      <c r="N68" s="18" t="n">
        <f aca="false">G68/60*Machinery!$L$5</f>
        <v>0.285714285714286</v>
      </c>
      <c r="O68" s="18" t="n">
        <f aca="false">F68/60*Assumptions!$B$20</f>
        <v>11.487922705314</v>
      </c>
      <c r="P68" s="18" t="n">
        <f aca="false">I68*Assumptions!$B$34*Assumptions!$B$35</f>
        <v>0.92055</v>
      </c>
      <c r="Q68" s="18" t="n">
        <f aca="false">SUM(K68:P68)</f>
        <v>14.4841869910283</v>
      </c>
      <c r="R68" s="18" t="n">
        <f aca="false">J68-Q68</f>
        <v>33.0158130089717</v>
      </c>
      <c r="S68" s="28" t="n">
        <f aca="false">IF(J68=0,0,R68/J68)</f>
        <v>0.695069747557299</v>
      </c>
      <c r="T68" s="26" t="n">
        <f aca="false">INDEX($B$13:$B$25,MATCH(E68,$A$13:$A$25,0))</f>
        <v>0.7</v>
      </c>
      <c r="U68" s="18" t="n">
        <f aca="false">SUM(K68:O68)/(1-T68-Assumptions!$B$34*Assumptions!$B$35*(1+H68*$B$5))</f>
        <v>48.334534213628</v>
      </c>
      <c r="V68" s="18" t="n">
        <f aca="false">MROUND(U68*(1+H68*$B$5),$B$6)</f>
        <v>58</v>
      </c>
      <c r="W68" s="26" t="n">
        <f aca="false">IF(I68=0,0,V68/I68-1)</f>
        <v>0.0175438596491229</v>
      </c>
      <c r="X68" s="29" t="n">
        <f aca="false">MROUND(V68*3*(1-$B$7),$B$6)</f>
        <v>157</v>
      </c>
      <c r="Y68" s="29" t="n">
        <f aca="false">MROUND(V68*6*(1-$B$8),$B$6)</f>
        <v>296</v>
      </c>
      <c r="Z68" s="29" t="n">
        <f aca="false">MROUND(V68*10*(1-$B$9),$B$6)</f>
        <v>464</v>
      </c>
      <c r="AC68" s="25" t="n">
        <f aca="false">IF(OR(D68="ACTIVE",D68="CONSULTATION"),1,0)</f>
        <v>1</v>
      </c>
    </row>
    <row r="69" customFormat="false" ht="15" hidden="false" customHeight="false" outlineLevel="0" collapsed="false">
      <c r="A69" s="6" t="s">
        <v>318</v>
      </c>
      <c r="B69" s="6" t="s">
        <v>321</v>
      </c>
      <c r="C69" s="2" t="s">
        <v>280</v>
      </c>
      <c r="D69" s="2" t="s">
        <v>320</v>
      </c>
      <c r="E69" s="2" t="s">
        <v>157</v>
      </c>
      <c r="F69" s="25" t="n">
        <v>30</v>
      </c>
      <c r="G69" s="25" t="n">
        <v>30</v>
      </c>
      <c r="H69" s="26" t="n">
        <v>0.2</v>
      </c>
      <c r="I69" s="18" t="n">
        <v>75</v>
      </c>
      <c r="J69" s="18" t="n">
        <f aca="false">I69/(1+H69*$B$5)</f>
        <v>62.5</v>
      </c>
      <c r="K69" s="27" t="n">
        <v>1.5</v>
      </c>
      <c r="L69" s="18" t="n">
        <f aca="false">G69/60*Machinery!$H$5*Assumptions!$B$23/100</f>
        <v>0.135</v>
      </c>
      <c r="M69" s="18" t="n">
        <f aca="false">G69/60*Machinery!$K$5</f>
        <v>0.3</v>
      </c>
      <c r="N69" s="18" t="n">
        <f aca="false">G69/60*Machinery!$L$5</f>
        <v>0.428571428571429</v>
      </c>
      <c r="O69" s="18" t="n">
        <f aca="false">F69/60*Assumptions!$B$20</f>
        <v>17.231884057971</v>
      </c>
      <c r="P69" s="18" t="n">
        <f aca="false">I69*Assumptions!$B$34*Assumptions!$B$35</f>
        <v>1.21125</v>
      </c>
      <c r="Q69" s="18" t="n">
        <f aca="false">SUM(K69:P69)</f>
        <v>20.8067054865424</v>
      </c>
      <c r="R69" s="18" t="n">
        <f aca="false">J69-Q69</f>
        <v>41.6932945134576</v>
      </c>
      <c r="S69" s="28" t="n">
        <f aca="false">IF(J69=0,0,R69/J69)</f>
        <v>0.667092712215321</v>
      </c>
      <c r="T69" s="26" t="n">
        <f aca="false">INDEX($B$13:$B$25,MATCH(E69,$A$13:$A$25,0))</f>
        <v>0.7</v>
      </c>
      <c r="U69" s="18" t="n">
        <f aca="false">SUM(K69:O69)/(1-T69-Assumptions!$B$34*Assumptions!$B$35*(1+H69*$B$5))</f>
        <v>69.8291479101363</v>
      </c>
      <c r="V69" s="18" t="n">
        <f aca="false">MROUND(U69*(1+H69*$B$5),$B$6)</f>
        <v>84</v>
      </c>
      <c r="W69" s="26" t="n">
        <f aca="false">IF(I69=0,0,V69/I69-1)</f>
        <v>0.12</v>
      </c>
      <c r="X69" s="29" t="n">
        <f aca="false">MROUND(V69*3*(1-$B$7),$B$6)</f>
        <v>227</v>
      </c>
      <c r="Y69" s="29" t="n">
        <f aca="false">MROUND(V69*6*(1-$B$8),$B$6)</f>
        <v>428</v>
      </c>
      <c r="Z69" s="29" t="n">
        <f aca="false">MROUND(V69*10*(1-$B$9),$B$6)</f>
        <v>672</v>
      </c>
      <c r="AC69" s="25" t="n">
        <f aca="false">IF(OR(D69="ACTIVE",D69="CONSULTATION"),1,0)</f>
        <v>1</v>
      </c>
    </row>
    <row r="70" customFormat="false" ht="15" hidden="false" customHeight="false" outlineLevel="0" collapsed="false">
      <c r="A70" s="6" t="s">
        <v>318</v>
      </c>
      <c r="B70" s="6" t="s">
        <v>322</v>
      </c>
      <c r="C70" s="2" t="s">
        <v>280</v>
      </c>
      <c r="D70" s="2" t="s">
        <v>320</v>
      </c>
      <c r="E70" s="2" t="s">
        <v>157</v>
      </c>
      <c r="F70" s="25" t="n">
        <v>40</v>
      </c>
      <c r="G70" s="25" t="n">
        <v>40</v>
      </c>
      <c r="H70" s="26" t="n">
        <v>0.2</v>
      </c>
      <c r="I70" s="18" t="n">
        <v>90</v>
      </c>
      <c r="J70" s="18" t="n">
        <f aca="false">I70/(1+H70*$B$5)</f>
        <v>75</v>
      </c>
      <c r="K70" s="27" t="n">
        <v>2</v>
      </c>
      <c r="L70" s="18" t="n">
        <f aca="false">G70/60*Machinery!$H$5*Assumptions!$B$23/100</f>
        <v>0.18</v>
      </c>
      <c r="M70" s="18" t="n">
        <f aca="false">G70/60*Machinery!$K$5</f>
        <v>0.4</v>
      </c>
      <c r="N70" s="18" t="n">
        <f aca="false">G70/60*Machinery!$L$5</f>
        <v>0.571428571428571</v>
      </c>
      <c r="O70" s="18" t="n">
        <f aca="false">F70/60*Assumptions!$B$20</f>
        <v>22.975845410628</v>
      </c>
      <c r="P70" s="18" t="n">
        <f aca="false">I70*Assumptions!$B$34*Assumptions!$B$35</f>
        <v>1.4535</v>
      </c>
      <c r="Q70" s="18" t="n">
        <f aca="false">SUM(K70:P70)</f>
        <v>27.5807739820566</v>
      </c>
      <c r="R70" s="18" t="n">
        <f aca="false">J70-Q70</f>
        <v>47.4192260179434</v>
      </c>
      <c r="S70" s="28" t="n">
        <f aca="false">IF(J70=0,0,R70/J70)</f>
        <v>0.632256346905912</v>
      </c>
      <c r="T70" s="26" t="n">
        <f aca="false">INDEX($B$13:$B$25,MATCH(E70,$A$13:$A$25,0))</f>
        <v>0.7</v>
      </c>
      <c r="U70" s="18" t="n">
        <f aca="false">SUM(K70:O70)/(1-T70-Assumptions!$B$34*Assumptions!$B$35*(1+H70*$B$5))</f>
        <v>93.1055305468484</v>
      </c>
      <c r="V70" s="18" t="n">
        <f aca="false">MROUND(U70*(1+H70*$B$5),$B$6)</f>
        <v>112</v>
      </c>
      <c r="W70" s="26" t="n">
        <f aca="false">IF(I70=0,0,V70/I70-1)</f>
        <v>0.244444444444444</v>
      </c>
      <c r="X70" s="29" t="n">
        <f aca="false">MROUND(V70*3*(1-$B$7),$B$6)</f>
        <v>302</v>
      </c>
      <c r="Y70" s="29" t="n">
        <f aca="false">MROUND(V70*6*(1-$B$8),$B$6)</f>
        <v>571</v>
      </c>
      <c r="Z70" s="29" t="n">
        <f aca="false">MROUND(V70*10*(1-$B$9),$B$6)</f>
        <v>896</v>
      </c>
      <c r="AC70" s="25" t="n">
        <f aca="false">IF(OR(D70="ACTIVE",D70="CONSULTATION"),1,0)</f>
        <v>1</v>
      </c>
    </row>
    <row r="71" customFormat="false" ht="15" hidden="false" customHeight="false" outlineLevel="0" collapsed="false">
      <c r="A71" s="6" t="s">
        <v>318</v>
      </c>
      <c r="B71" s="6" t="s">
        <v>303</v>
      </c>
      <c r="C71" s="2" t="s">
        <v>280</v>
      </c>
      <c r="D71" s="2" t="s">
        <v>320</v>
      </c>
      <c r="E71" s="2" t="s">
        <v>157</v>
      </c>
      <c r="F71" s="25" t="n">
        <v>20</v>
      </c>
      <c r="G71" s="25" t="n">
        <v>20</v>
      </c>
      <c r="H71" s="26" t="n">
        <v>0.2</v>
      </c>
      <c r="I71" s="18" t="n">
        <v>33</v>
      </c>
      <c r="J71" s="18" t="n">
        <f aca="false">I71/(1+H71*$B$5)</f>
        <v>27.5</v>
      </c>
      <c r="K71" s="27" t="n">
        <v>1.5</v>
      </c>
      <c r="L71" s="18" t="n">
        <f aca="false">G71/60*Machinery!$H$5*Assumptions!$B$23/100</f>
        <v>0.09</v>
      </c>
      <c r="M71" s="18" t="n">
        <f aca="false">G71/60*Machinery!$K$5</f>
        <v>0.2</v>
      </c>
      <c r="N71" s="18" t="n">
        <f aca="false">G71/60*Machinery!$L$5</f>
        <v>0.285714285714286</v>
      </c>
      <c r="O71" s="18" t="n">
        <f aca="false">F71/60*Assumptions!$B$20</f>
        <v>11.487922705314</v>
      </c>
      <c r="P71" s="18" t="n">
        <f aca="false">I71*Assumptions!$B$34*Assumptions!$B$35</f>
        <v>0.53295</v>
      </c>
      <c r="Q71" s="18" t="n">
        <f aca="false">SUM(K71:P71)</f>
        <v>14.0965869910283</v>
      </c>
      <c r="R71" s="18" t="n">
        <f aca="false">J71-Q71</f>
        <v>13.4034130089717</v>
      </c>
      <c r="S71" s="28" t="n">
        <f aca="false">IF(J71=0,0,R71/J71)</f>
        <v>0.48739683668988</v>
      </c>
      <c r="T71" s="26" t="n">
        <f aca="false">INDEX($B$13:$B$25,MATCH(E71,$A$13:$A$25,0))</f>
        <v>0.7</v>
      </c>
      <c r="U71" s="18" t="n">
        <f aca="false">SUM(K71:O71)/(1-T71-Assumptions!$B$34*Assumptions!$B$35*(1+H71*$B$5))</f>
        <v>48.334534213628</v>
      </c>
      <c r="V71" s="18" t="n">
        <f aca="false">MROUND(U71*(1+H71*$B$5),$B$6)</f>
        <v>58</v>
      </c>
      <c r="W71" s="26" t="n">
        <f aca="false">IF(I71=0,0,V71/I71-1)</f>
        <v>0.757575757575758</v>
      </c>
      <c r="X71" s="29" t="n">
        <f aca="false">MROUND(V71*3*(1-$B$7),$B$6)</f>
        <v>157</v>
      </c>
      <c r="Y71" s="29" t="n">
        <f aca="false">MROUND(V71*6*(1-$B$8),$B$6)</f>
        <v>296</v>
      </c>
      <c r="Z71" s="29" t="n">
        <f aca="false">MROUND(V71*10*(1-$B$9),$B$6)</f>
        <v>464</v>
      </c>
      <c r="AC71" s="25" t="n">
        <f aca="false">IF(OR(D71="ACTIVE",D71="CONSULTATION"),1,0)</f>
        <v>1</v>
      </c>
    </row>
    <row r="72" customFormat="false" ht="15" hidden="false" customHeight="false" outlineLevel="0" collapsed="false">
      <c r="A72" s="6" t="s">
        <v>318</v>
      </c>
      <c r="B72" s="6" t="s">
        <v>307</v>
      </c>
      <c r="C72" s="2" t="s">
        <v>280</v>
      </c>
      <c r="D72" s="2" t="s">
        <v>320</v>
      </c>
      <c r="E72" s="2" t="s">
        <v>157</v>
      </c>
      <c r="F72" s="25" t="n">
        <v>30</v>
      </c>
      <c r="G72" s="25" t="n">
        <v>30</v>
      </c>
      <c r="H72" s="26" t="n">
        <v>0.2</v>
      </c>
      <c r="I72" s="18" t="n">
        <v>90</v>
      </c>
      <c r="J72" s="18" t="n">
        <f aca="false">I72/(1+H72*$B$5)</f>
        <v>75</v>
      </c>
      <c r="K72" s="27" t="n">
        <v>1.5</v>
      </c>
      <c r="L72" s="18" t="n">
        <f aca="false">G72/60*Machinery!$H$5*Assumptions!$B$23/100</f>
        <v>0.135</v>
      </c>
      <c r="M72" s="18" t="n">
        <f aca="false">G72/60*Machinery!$K$5</f>
        <v>0.3</v>
      </c>
      <c r="N72" s="18" t="n">
        <f aca="false">G72/60*Machinery!$L$5</f>
        <v>0.428571428571429</v>
      </c>
      <c r="O72" s="18" t="n">
        <f aca="false">F72/60*Assumptions!$B$20</f>
        <v>17.231884057971</v>
      </c>
      <c r="P72" s="18" t="n">
        <f aca="false">I72*Assumptions!$B$34*Assumptions!$B$35</f>
        <v>1.4535</v>
      </c>
      <c r="Q72" s="18" t="n">
        <f aca="false">SUM(K72:P72)</f>
        <v>21.0489554865424</v>
      </c>
      <c r="R72" s="18" t="n">
        <f aca="false">J72-Q72</f>
        <v>53.9510445134576</v>
      </c>
      <c r="S72" s="28" t="n">
        <f aca="false">IF(J72=0,0,R72/J72)</f>
        <v>0.719347260179434</v>
      </c>
      <c r="T72" s="26" t="n">
        <f aca="false">INDEX($B$13:$B$25,MATCH(E72,$A$13:$A$25,0))</f>
        <v>0.7</v>
      </c>
      <c r="U72" s="18" t="n">
        <f aca="false">SUM(K72:O72)/(1-T72-Assumptions!$B$34*Assumptions!$B$35*(1+H72*$B$5))</f>
        <v>69.8291479101363</v>
      </c>
      <c r="V72" s="18" t="n">
        <f aca="false">MROUND(U72*(1+H72*$B$5),$B$6)</f>
        <v>84</v>
      </c>
      <c r="W72" s="26" t="n">
        <f aca="false">IF(I72=0,0,V72/I72-1)</f>
        <v>-0.0666666666666667</v>
      </c>
      <c r="X72" s="29" t="n">
        <f aca="false">MROUND(V72*3*(1-$B$7),$B$6)</f>
        <v>227</v>
      </c>
      <c r="Y72" s="29" t="n">
        <f aca="false">MROUND(V72*6*(1-$B$8),$B$6)</f>
        <v>428</v>
      </c>
      <c r="Z72" s="29" t="n">
        <f aca="false">MROUND(V72*10*(1-$B$9),$B$6)</f>
        <v>672</v>
      </c>
      <c r="AC72" s="25" t="n">
        <f aca="false">IF(OR(D72="ACTIVE",D72="CONSULTATION"),1,0)</f>
        <v>1</v>
      </c>
    </row>
    <row r="73" customFormat="false" ht="15" hidden="false" customHeight="false" outlineLevel="0" collapsed="false">
      <c r="A73" s="6" t="s">
        <v>318</v>
      </c>
      <c r="B73" s="6" t="s">
        <v>306</v>
      </c>
      <c r="C73" s="2" t="s">
        <v>280</v>
      </c>
      <c r="D73" s="2" t="s">
        <v>320</v>
      </c>
      <c r="E73" s="2" t="s">
        <v>157</v>
      </c>
      <c r="F73" s="25" t="n">
        <v>20</v>
      </c>
      <c r="G73" s="25" t="n">
        <v>20</v>
      </c>
      <c r="H73" s="26" t="n">
        <v>0.2</v>
      </c>
      <c r="I73" s="18" t="n">
        <v>90</v>
      </c>
      <c r="J73" s="18" t="n">
        <f aca="false">I73/(1+H73*$B$5)</f>
        <v>75</v>
      </c>
      <c r="K73" s="27" t="n">
        <v>1.5</v>
      </c>
      <c r="L73" s="18" t="n">
        <f aca="false">G73/60*Machinery!$H$5*Assumptions!$B$23/100</f>
        <v>0.09</v>
      </c>
      <c r="M73" s="18" t="n">
        <f aca="false">G73/60*Machinery!$K$5</f>
        <v>0.2</v>
      </c>
      <c r="N73" s="18" t="n">
        <f aca="false">G73/60*Machinery!$L$5</f>
        <v>0.285714285714286</v>
      </c>
      <c r="O73" s="18" t="n">
        <f aca="false">F73/60*Assumptions!$B$20</f>
        <v>11.487922705314</v>
      </c>
      <c r="P73" s="18" t="n">
        <f aca="false">I73*Assumptions!$B$34*Assumptions!$B$35</f>
        <v>1.4535</v>
      </c>
      <c r="Q73" s="18" t="n">
        <f aca="false">SUM(K73:P73)</f>
        <v>15.0171369910283</v>
      </c>
      <c r="R73" s="18" t="n">
        <f aca="false">J73-Q73</f>
        <v>59.9828630089717</v>
      </c>
      <c r="S73" s="28" t="n">
        <f aca="false">IF(J73=0,0,R73/J73)</f>
        <v>0.799771506786289</v>
      </c>
      <c r="T73" s="26" t="n">
        <f aca="false">INDEX($B$13:$B$25,MATCH(E73,$A$13:$A$25,0))</f>
        <v>0.7</v>
      </c>
      <c r="U73" s="18" t="n">
        <f aca="false">SUM(K73:O73)/(1-T73-Assumptions!$B$34*Assumptions!$B$35*(1+H73*$B$5))</f>
        <v>48.334534213628</v>
      </c>
      <c r="V73" s="18" t="n">
        <f aca="false">MROUND(U73*(1+H73*$B$5),$B$6)</f>
        <v>58</v>
      </c>
      <c r="W73" s="26" t="n">
        <f aca="false">IF(I73=0,0,V73/I73-1)</f>
        <v>-0.355555555555556</v>
      </c>
      <c r="X73" s="29" t="n">
        <f aca="false">MROUND(V73*3*(1-$B$7),$B$6)</f>
        <v>157</v>
      </c>
      <c r="Y73" s="29" t="n">
        <f aca="false">MROUND(V73*6*(1-$B$8),$B$6)</f>
        <v>296</v>
      </c>
      <c r="Z73" s="29" t="n">
        <f aca="false">MROUND(V73*10*(1-$B$9),$B$6)</f>
        <v>464</v>
      </c>
      <c r="AC73" s="25" t="n">
        <f aca="false">IF(OR(D73="ACTIVE",D73="CONSULTATION"),1,0)</f>
        <v>1</v>
      </c>
    </row>
    <row r="74" customFormat="false" ht="15" hidden="false" customHeight="false" outlineLevel="0" collapsed="false">
      <c r="A74" s="6" t="s">
        <v>318</v>
      </c>
      <c r="B74" s="6" t="s">
        <v>323</v>
      </c>
      <c r="C74" s="2" t="s">
        <v>280</v>
      </c>
      <c r="D74" s="2" t="s">
        <v>320</v>
      </c>
      <c r="E74" s="2" t="s">
        <v>157</v>
      </c>
      <c r="F74" s="25" t="n">
        <v>30</v>
      </c>
      <c r="G74" s="25" t="n">
        <v>30</v>
      </c>
      <c r="H74" s="26" t="n">
        <v>0.2</v>
      </c>
      <c r="I74" s="18" t="n">
        <v>90</v>
      </c>
      <c r="J74" s="18" t="n">
        <f aca="false">I74/(1+H74*$B$5)</f>
        <v>75</v>
      </c>
      <c r="K74" s="27" t="n">
        <v>1.5</v>
      </c>
      <c r="L74" s="18" t="n">
        <f aca="false">G74/60*Machinery!$H$5*Assumptions!$B$23/100</f>
        <v>0.135</v>
      </c>
      <c r="M74" s="18" t="n">
        <f aca="false">G74/60*Machinery!$K$5</f>
        <v>0.3</v>
      </c>
      <c r="N74" s="18" t="n">
        <f aca="false">G74/60*Machinery!$L$5</f>
        <v>0.428571428571429</v>
      </c>
      <c r="O74" s="18" t="n">
        <f aca="false">F74/60*Assumptions!$B$20</f>
        <v>17.231884057971</v>
      </c>
      <c r="P74" s="18" t="n">
        <f aca="false">I74*Assumptions!$B$34*Assumptions!$B$35</f>
        <v>1.4535</v>
      </c>
      <c r="Q74" s="18" t="n">
        <f aca="false">SUM(K74:P74)</f>
        <v>21.0489554865424</v>
      </c>
      <c r="R74" s="18" t="n">
        <f aca="false">J74-Q74</f>
        <v>53.9510445134576</v>
      </c>
      <c r="S74" s="28" t="n">
        <f aca="false">IF(J74=0,0,R74/J74)</f>
        <v>0.719347260179434</v>
      </c>
      <c r="T74" s="26" t="n">
        <f aca="false">INDEX($B$13:$B$25,MATCH(E74,$A$13:$A$25,0))</f>
        <v>0.7</v>
      </c>
      <c r="U74" s="18" t="n">
        <f aca="false">SUM(K74:O74)/(1-T74-Assumptions!$B$34*Assumptions!$B$35*(1+H74*$B$5))</f>
        <v>69.8291479101363</v>
      </c>
      <c r="V74" s="18" t="n">
        <f aca="false">MROUND(U74*(1+H74*$B$5),$B$6)</f>
        <v>84</v>
      </c>
      <c r="W74" s="26" t="n">
        <f aca="false">IF(I74=0,0,V74/I74-1)</f>
        <v>-0.0666666666666667</v>
      </c>
      <c r="X74" s="29" t="n">
        <f aca="false">MROUND(V74*3*(1-$B$7),$B$6)</f>
        <v>227</v>
      </c>
      <c r="Y74" s="29" t="n">
        <f aca="false">MROUND(V74*6*(1-$B$8),$B$6)</f>
        <v>428</v>
      </c>
      <c r="Z74" s="29" t="n">
        <f aca="false">MROUND(V74*10*(1-$B$9),$B$6)</f>
        <v>672</v>
      </c>
      <c r="AC74" s="25" t="n">
        <f aca="false">IF(OR(D74="ACTIVE",D74="CONSULTATION"),1,0)</f>
        <v>1</v>
      </c>
    </row>
    <row r="75" customFormat="false" ht="15" hidden="false" customHeight="false" outlineLevel="0" collapsed="false">
      <c r="A75" s="6" t="s">
        <v>318</v>
      </c>
      <c r="B75" s="6" t="s">
        <v>310</v>
      </c>
      <c r="C75" s="2" t="s">
        <v>280</v>
      </c>
      <c r="D75" s="2" t="s">
        <v>320</v>
      </c>
      <c r="E75" s="2" t="s">
        <v>157</v>
      </c>
      <c r="F75" s="25" t="n">
        <v>40</v>
      </c>
      <c r="G75" s="25" t="n">
        <v>40</v>
      </c>
      <c r="H75" s="26" t="n">
        <v>0.2</v>
      </c>
      <c r="I75" s="18" t="n">
        <v>105</v>
      </c>
      <c r="J75" s="18" t="n">
        <f aca="false">I75/(1+H75*$B$5)</f>
        <v>87.5</v>
      </c>
      <c r="K75" s="27" t="n">
        <v>2</v>
      </c>
      <c r="L75" s="18" t="n">
        <f aca="false">G75/60*Machinery!$H$5*Assumptions!$B$23/100</f>
        <v>0.18</v>
      </c>
      <c r="M75" s="18" t="n">
        <f aca="false">G75/60*Machinery!$K$5</f>
        <v>0.4</v>
      </c>
      <c r="N75" s="18" t="n">
        <f aca="false">G75/60*Machinery!$L$5</f>
        <v>0.571428571428571</v>
      </c>
      <c r="O75" s="18" t="n">
        <f aca="false">F75/60*Assumptions!$B$20</f>
        <v>22.975845410628</v>
      </c>
      <c r="P75" s="18" t="n">
        <f aca="false">I75*Assumptions!$B$34*Assumptions!$B$35</f>
        <v>1.69575</v>
      </c>
      <c r="Q75" s="18" t="n">
        <f aca="false">SUM(K75:P75)</f>
        <v>27.8230239820566</v>
      </c>
      <c r="R75" s="18" t="n">
        <f aca="false">J75-Q75</f>
        <v>59.6769760179434</v>
      </c>
      <c r="S75" s="28" t="n">
        <f aca="false">IF(J75=0,0,R75/J75)</f>
        <v>0.68202258306221</v>
      </c>
      <c r="T75" s="26" t="n">
        <f aca="false">INDEX($B$13:$B$25,MATCH(E75,$A$13:$A$25,0))</f>
        <v>0.7</v>
      </c>
      <c r="U75" s="18" t="n">
        <f aca="false">SUM(K75:O75)/(1-T75-Assumptions!$B$34*Assumptions!$B$35*(1+H75*$B$5))</f>
        <v>93.1055305468484</v>
      </c>
      <c r="V75" s="18" t="n">
        <f aca="false">MROUND(U75*(1+H75*$B$5),$B$6)</f>
        <v>112</v>
      </c>
      <c r="W75" s="26" t="n">
        <f aca="false">IF(I75=0,0,V75/I75-1)</f>
        <v>0.0666666666666667</v>
      </c>
      <c r="X75" s="29" t="n">
        <f aca="false">MROUND(V75*3*(1-$B$7),$B$6)</f>
        <v>302</v>
      </c>
      <c r="Y75" s="29" t="n">
        <f aca="false">MROUND(V75*6*(1-$B$8),$B$6)</f>
        <v>571</v>
      </c>
      <c r="Z75" s="29" t="n">
        <f aca="false">MROUND(V75*10*(1-$B$9),$B$6)</f>
        <v>896</v>
      </c>
      <c r="AC75" s="25" t="n">
        <f aca="false">IF(OR(D75="ACTIVE",D75="CONSULTATION"),1,0)</f>
        <v>1</v>
      </c>
    </row>
    <row r="76" customFormat="false" ht="15" hidden="false" customHeight="false" outlineLevel="0" collapsed="false">
      <c r="A76" s="6" t="s">
        <v>318</v>
      </c>
      <c r="B76" s="6" t="s">
        <v>308</v>
      </c>
      <c r="C76" s="2" t="s">
        <v>280</v>
      </c>
      <c r="D76" s="2" t="s">
        <v>320</v>
      </c>
      <c r="E76" s="2" t="s">
        <v>157</v>
      </c>
      <c r="F76" s="25" t="n">
        <v>25</v>
      </c>
      <c r="G76" s="25" t="n">
        <v>25</v>
      </c>
      <c r="H76" s="26" t="n">
        <v>0.2</v>
      </c>
      <c r="I76" s="18" t="n">
        <v>105</v>
      </c>
      <c r="J76" s="18" t="n">
        <f aca="false">I76/(1+H76*$B$5)</f>
        <v>87.5</v>
      </c>
      <c r="K76" s="27" t="n">
        <v>1.5</v>
      </c>
      <c r="L76" s="18" t="n">
        <f aca="false">G76/60*Machinery!$H$5*Assumptions!$B$23/100</f>
        <v>0.1125</v>
      </c>
      <c r="M76" s="18" t="n">
        <f aca="false">G76/60*Machinery!$K$5</f>
        <v>0.25</v>
      </c>
      <c r="N76" s="18" t="n">
        <f aca="false">G76/60*Machinery!$L$5</f>
        <v>0.357142857142857</v>
      </c>
      <c r="O76" s="18" t="n">
        <f aca="false">F76/60*Assumptions!$B$20</f>
        <v>14.3599033816425</v>
      </c>
      <c r="P76" s="18" t="n">
        <f aca="false">I76*Assumptions!$B$34*Assumptions!$B$35</f>
        <v>1.69575</v>
      </c>
      <c r="Q76" s="18" t="n">
        <f aca="false">SUM(K76:P76)</f>
        <v>18.2752962387854</v>
      </c>
      <c r="R76" s="18" t="n">
        <f aca="false">J76-Q76</f>
        <v>69.2247037612146</v>
      </c>
      <c r="S76" s="28" t="n">
        <f aca="false">IF(J76=0,0,R76/J76)</f>
        <v>0.791139471556739</v>
      </c>
      <c r="T76" s="26" t="n">
        <f aca="false">INDEX($B$13:$B$25,MATCH(E76,$A$13:$A$25,0))</f>
        <v>0.7</v>
      </c>
      <c r="U76" s="18" t="n">
        <f aca="false">SUM(K76:O76)/(1-T76-Assumptions!$B$34*Assumptions!$B$35*(1+H76*$B$5))</f>
        <v>59.0818410618822</v>
      </c>
      <c r="V76" s="18" t="n">
        <f aca="false">MROUND(U76*(1+H76*$B$5),$B$6)</f>
        <v>71</v>
      </c>
      <c r="W76" s="26" t="n">
        <f aca="false">IF(I76=0,0,V76/I76-1)</f>
        <v>-0.323809523809524</v>
      </c>
      <c r="X76" s="29" t="n">
        <f aca="false">MROUND(V76*3*(1-$B$7),$B$6)</f>
        <v>192</v>
      </c>
      <c r="Y76" s="29" t="n">
        <f aca="false">MROUND(V76*6*(1-$B$8),$B$6)</f>
        <v>362</v>
      </c>
      <c r="Z76" s="29" t="n">
        <f aca="false">MROUND(V76*10*(1-$B$9),$B$6)</f>
        <v>568</v>
      </c>
      <c r="AC76" s="25" t="n">
        <f aca="false">IF(OR(D76="ACTIVE",D76="CONSULTATION"),1,0)</f>
        <v>1</v>
      </c>
    </row>
    <row r="77" customFormat="false" ht="15" hidden="false" customHeight="false" outlineLevel="0" collapsed="false">
      <c r="A77" s="6" t="s">
        <v>318</v>
      </c>
      <c r="B77" s="6" t="s">
        <v>305</v>
      </c>
      <c r="C77" s="2" t="s">
        <v>280</v>
      </c>
      <c r="D77" s="2" t="s">
        <v>320</v>
      </c>
      <c r="E77" s="2" t="s">
        <v>157</v>
      </c>
      <c r="F77" s="25" t="n">
        <v>25</v>
      </c>
      <c r="G77" s="25" t="n">
        <v>25</v>
      </c>
      <c r="H77" s="26" t="n">
        <v>0.2</v>
      </c>
      <c r="I77" s="18" t="n">
        <v>105</v>
      </c>
      <c r="J77" s="18" t="n">
        <f aca="false">I77/(1+H77*$B$5)</f>
        <v>87.5</v>
      </c>
      <c r="K77" s="27" t="n">
        <v>1.5</v>
      </c>
      <c r="L77" s="18" t="n">
        <f aca="false">G77/60*Machinery!$H$5*Assumptions!$B$23/100</f>
        <v>0.1125</v>
      </c>
      <c r="M77" s="18" t="n">
        <f aca="false">G77/60*Machinery!$K$5</f>
        <v>0.25</v>
      </c>
      <c r="N77" s="18" t="n">
        <f aca="false">G77/60*Machinery!$L$5</f>
        <v>0.357142857142857</v>
      </c>
      <c r="O77" s="18" t="n">
        <f aca="false">F77/60*Assumptions!$B$20</f>
        <v>14.3599033816425</v>
      </c>
      <c r="P77" s="18" t="n">
        <f aca="false">I77*Assumptions!$B$34*Assumptions!$B$35</f>
        <v>1.69575</v>
      </c>
      <c r="Q77" s="18" t="n">
        <f aca="false">SUM(K77:P77)</f>
        <v>18.2752962387854</v>
      </c>
      <c r="R77" s="18" t="n">
        <f aca="false">J77-Q77</f>
        <v>69.2247037612146</v>
      </c>
      <c r="S77" s="28" t="n">
        <f aca="false">IF(J77=0,0,R77/J77)</f>
        <v>0.791139471556739</v>
      </c>
      <c r="T77" s="26" t="n">
        <f aca="false">INDEX($B$13:$B$25,MATCH(E77,$A$13:$A$25,0))</f>
        <v>0.7</v>
      </c>
      <c r="U77" s="18" t="n">
        <f aca="false">SUM(K77:O77)/(1-T77-Assumptions!$B$34*Assumptions!$B$35*(1+H77*$B$5))</f>
        <v>59.0818410618822</v>
      </c>
      <c r="V77" s="18" t="n">
        <f aca="false">MROUND(U77*(1+H77*$B$5),$B$6)</f>
        <v>71</v>
      </c>
      <c r="W77" s="26" t="n">
        <f aca="false">IF(I77=0,0,V77/I77-1)</f>
        <v>-0.323809523809524</v>
      </c>
      <c r="X77" s="29" t="n">
        <f aca="false">MROUND(V77*3*(1-$B$7),$B$6)</f>
        <v>192</v>
      </c>
      <c r="Y77" s="29" t="n">
        <f aca="false">MROUND(V77*6*(1-$B$8),$B$6)</f>
        <v>362</v>
      </c>
      <c r="Z77" s="29" t="n">
        <f aca="false">MROUND(V77*10*(1-$B$9),$B$6)</f>
        <v>568</v>
      </c>
      <c r="AC77" s="25" t="n">
        <f aca="false">IF(OR(D77="ACTIVE",D77="CONSULTATION"),1,0)</f>
        <v>1</v>
      </c>
    </row>
    <row r="78" customFormat="false" ht="15" hidden="false" customHeight="false" outlineLevel="0" collapsed="false">
      <c r="A78" s="6" t="s">
        <v>318</v>
      </c>
      <c r="B78" s="6" t="s">
        <v>309</v>
      </c>
      <c r="C78" s="2" t="s">
        <v>280</v>
      </c>
      <c r="D78" s="2" t="s">
        <v>320</v>
      </c>
      <c r="E78" s="2" t="s">
        <v>157</v>
      </c>
      <c r="F78" s="25" t="n">
        <v>30</v>
      </c>
      <c r="G78" s="25" t="n">
        <v>30</v>
      </c>
      <c r="H78" s="26" t="n">
        <v>0.2</v>
      </c>
      <c r="I78" s="18" t="n">
        <v>115</v>
      </c>
      <c r="J78" s="18" t="n">
        <f aca="false">I78/(1+H78*$B$5)</f>
        <v>95.8333333333333</v>
      </c>
      <c r="K78" s="27" t="n">
        <v>2</v>
      </c>
      <c r="L78" s="18" t="n">
        <f aca="false">G78/60*Machinery!$H$5*Assumptions!$B$23/100</f>
        <v>0.135</v>
      </c>
      <c r="M78" s="18" t="n">
        <f aca="false">G78/60*Machinery!$K$5</f>
        <v>0.3</v>
      </c>
      <c r="N78" s="18" t="n">
        <f aca="false">G78/60*Machinery!$L$5</f>
        <v>0.428571428571429</v>
      </c>
      <c r="O78" s="18" t="n">
        <f aca="false">F78/60*Assumptions!$B$20</f>
        <v>17.231884057971</v>
      </c>
      <c r="P78" s="18" t="n">
        <f aca="false">I78*Assumptions!$B$34*Assumptions!$B$35</f>
        <v>1.85725</v>
      </c>
      <c r="Q78" s="18" t="n">
        <f aca="false">SUM(K78:P78)</f>
        <v>21.9527054865424</v>
      </c>
      <c r="R78" s="18" t="n">
        <f aca="false">J78-Q78</f>
        <v>73.8806278467909</v>
      </c>
      <c r="S78" s="28" t="n">
        <f aca="false">IF(J78=0,0,R78/J78)</f>
        <v>0.770928290575209</v>
      </c>
      <c r="T78" s="26" t="n">
        <f aca="false">INDEX($B$13:$B$25,MATCH(E78,$A$13:$A$25,0))</f>
        <v>0.7</v>
      </c>
      <c r="U78" s="18" t="n">
        <f aca="false">SUM(K78:O78)/(1-T78-Assumptions!$B$34*Assumptions!$B$35*(1+H78*$B$5))</f>
        <v>71.6109168503401</v>
      </c>
      <c r="V78" s="18" t="n">
        <f aca="false">MROUND(U78*(1+H78*$B$5),$B$6)</f>
        <v>86</v>
      </c>
      <c r="W78" s="26" t="n">
        <f aca="false">IF(I78=0,0,V78/I78-1)</f>
        <v>-0.252173913043478</v>
      </c>
      <c r="X78" s="29" t="n">
        <f aca="false">MROUND(V78*3*(1-$B$7),$B$6)</f>
        <v>232</v>
      </c>
      <c r="Y78" s="29" t="n">
        <f aca="false">MROUND(V78*6*(1-$B$8),$B$6)</f>
        <v>439</v>
      </c>
      <c r="Z78" s="29" t="n">
        <f aca="false">MROUND(V78*10*(1-$B$9),$B$6)</f>
        <v>688</v>
      </c>
      <c r="AC78" s="25" t="n">
        <f aca="false">IF(OR(D78="ACTIVE",D78="CONSULTATION"),1,0)</f>
        <v>1</v>
      </c>
    </row>
    <row r="79" customFormat="false" ht="15" hidden="false" customHeight="false" outlineLevel="0" collapsed="false">
      <c r="A79" s="6" t="s">
        <v>318</v>
      </c>
      <c r="B79" s="6" t="s">
        <v>324</v>
      </c>
      <c r="C79" s="2" t="s">
        <v>280</v>
      </c>
      <c r="D79" s="2" t="s">
        <v>320</v>
      </c>
      <c r="E79" s="2" t="s">
        <v>157</v>
      </c>
      <c r="F79" s="25" t="n">
        <v>40</v>
      </c>
      <c r="G79" s="25" t="n">
        <v>40</v>
      </c>
      <c r="H79" s="26" t="n">
        <v>0.2</v>
      </c>
      <c r="I79" s="18" t="n">
        <v>147</v>
      </c>
      <c r="J79" s="18" t="n">
        <f aca="false">I79/(1+H79*$B$5)</f>
        <v>122.5</v>
      </c>
      <c r="K79" s="27" t="n">
        <v>2</v>
      </c>
      <c r="L79" s="18" t="n">
        <f aca="false">G79/60*Machinery!$H$5*Assumptions!$B$23/100</f>
        <v>0.18</v>
      </c>
      <c r="M79" s="18" t="n">
        <f aca="false">G79/60*Machinery!$K$5</f>
        <v>0.4</v>
      </c>
      <c r="N79" s="18" t="n">
        <f aca="false">G79/60*Machinery!$L$5</f>
        <v>0.571428571428571</v>
      </c>
      <c r="O79" s="18" t="n">
        <f aca="false">F79/60*Assumptions!$B$20</f>
        <v>22.975845410628</v>
      </c>
      <c r="P79" s="18" t="n">
        <f aca="false">I79*Assumptions!$B$34*Assumptions!$B$35</f>
        <v>2.37405</v>
      </c>
      <c r="Q79" s="18" t="n">
        <f aca="false">SUM(K79:P79)</f>
        <v>28.5013239820566</v>
      </c>
      <c r="R79" s="18" t="n">
        <f aca="false">J79-Q79</f>
        <v>93.9986760179434</v>
      </c>
      <c r="S79" s="28" t="n">
        <f aca="false">IF(J79=0,0,R79/J79)</f>
        <v>0.767336130758722</v>
      </c>
      <c r="T79" s="26" t="n">
        <f aca="false">INDEX($B$13:$B$25,MATCH(E79,$A$13:$A$25,0))</f>
        <v>0.7</v>
      </c>
      <c r="U79" s="18" t="n">
        <f aca="false">SUM(K79:O79)/(1-T79-Assumptions!$B$34*Assumptions!$B$35*(1+H79*$B$5))</f>
        <v>93.1055305468484</v>
      </c>
      <c r="V79" s="18" t="n">
        <f aca="false">MROUND(U79*(1+H79*$B$5),$B$6)</f>
        <v>112</v>
      </c>
      <c r="W79" s="26" t="n">
        <f aca="false">IF(I79=0,0,V79/I79-1)</f>
        <v>-0.238095238095238</v>
      </c>
      <c r="X79" s="29" t="n">
        <f aca="false">MROUND(V79*3*(1-$B$7),$B$6)</f>
        <v>302</v>
      </c>
      <c r="Y79" s="29" t="n">
        <f aca="false">MROUND(V79*6*(1-$B$8),$B$6)</f>
        <v>571</v>
      </c>
      <c r="Z79" s="29" t="n">
        <f aca="false">MROUND(V79*10*(1-$B$9),$B$6)</f>
        <v>896</v>
      </c>
      <c r="AC79" s="25" t="n">
        <f aca="false">IF(OR(D79="ACTIVE",D79="CONSULTATION"),1,0)</f>
        <v>1</v>
      </c>
    </row>
    <row r="80" customFormat="false" ht="15" hidden="false" customHeight="false" outlineLevel="0" collapsed="false">
      <c r="A80" s="6" t="s">
        <v>318</v>
      </c>
      <c r="B80" s="6" t="s">
        <v>325</v>
      </c>
      <c r="C80" s="2" t="s">
        <v>280</v>
      </c>
      <c r="D80" s="2" t="s">
        <v>320</v>
      </c>
      <c r="E80" s="2" t="s">
        <v>157</v>
      </c>
      <c r="F80" s="25" t="n">
        <v>50</v>
      </c>
      <c r="G80" s="25" t="n">
        <v>50</v>
      </c>
      <c r="H80" s="26" t="n">
        <v>0.2</v>
      </c>
      <c r="I80" s="18" t="n">
        <v>158</v>
      </c>
      <c r="J80" s="18" t="n">
        <f aca="false">I80/(1+H80*$B$5)</f>
        <v>131.666666666667</v>
      </c>
      <c r="K80" s="27" t="n">
        <v>2.5</v>
      </c>
      <c r="L80" s="18" t="n">
        <f aca="false">G80/60*Machinery!$H$5*Assumptions!$B$23/100</f>
        <v>0.225</v>
      </c>
      <c r="M80" s="18" t="n">
        <f aca="false">G80/60*Machinery!$K$5</f>
        <v>0.5</v>
      </c>
      <c r="N80" s="18" t="n">
        <f aca="false">G80/60*Machinery!$L$5</f>
        <v>0.714285714285714</v>
      </c>
      <c r="O80" s="18" t="n">
        <f aca="false">F80/60*Assumptions!$B$20</f>
        <v>28.719806763285</v>
      </c>
      <c r="P80" s="18" t="n">
        <f aca="false">I80*Assumptions!$B$34*Assumptions!$B$35</f>
        <v>2.5517</v>
      </c>
      <c r="Q80" s="18" t="n">
        <f aca="false">SUM(K80:P80)</f>
        <v>35.2107924775708</v>
      </c>
      <c r="R80" s="18" t="n">
        <f aca="false">J80-Q80</f>
        <v>96.4558741890959</v>
      </c>
      <c r="S80" s="28" t="n">
        <f aca="false">IF(J80=0,0,R80/J80)</f>
        <v>0.73257625966402</v>
      </c>
      <c r="T80" s="26" t="n">
        <f aca="false">INDEX($B$13:$B$25,MATCH(E80,$A$13:$A$25,0))</f>
        <v>0.7</v>
      </c>
      <c r="U80" s="18" t="n">
        <f aca="false">SUM(K80:O80)/(1-T80-Assumptions!$B$34*Assumptions!$B$35*(1+H80*$B$5))</f>
        <v>116.38191318356</v>
      </c>
      <c r="V80" s="18" t="n">
        <f aca="false">MROUND(U80*(1+H80*$B$5),$B$6)</f>
        <v>140</v>
      </c>
      <c r="W80" s="26" t="n">
        <f aca="false">IF(I80=0,0,V80/I80-1)</f>
        <v>-0.113924050632911</v>
      </c>
      <c r="X80" s="29" t="n">
        <f aca="false">MROUND(V80*3*(1-$B$7),$B$6)</f>
        <v>378</v>
      </c>
      <c r="Y80" s="29" t="n">
        <f aca="false">MROUND(V80*6*(1-$B$8),$B$6)</f>
        <v>714</v>
      </c>
      <c r="Z80" s="29" t="n">
        <f aca="false">MROUND(V80*10*(1-$B$9),$B$6)</f>
        <v>1120</v>
      </c>
      <c r="AC80" s="25" t="n">
        <f aca="false">IF(OR(D80="ACTIVE",D80="CONSULTATION"),1,0)</f>
        <v>1</v>
      </c>
    </row>
    <row r="81" customFormat="false" ht="15" hidden="false" customHeight="false" outlineLevel="0" collapsed="false">
      <c r="A81" s="6" t="s">
        <v>318</v>
      </c>
      <c r="B81" s="6" t="s">
        <v>326</v>
      </c>
      <c r="C81" s="2" t="s">
        <v>280</v>
      </c>
      <c r="D81" s="2" t="s">
        <v>320</v>
      </c>
      <c r="E81" s="2" t="s">
        <v>157</v>
      </c>
      <c r="F81" s="25" t="n">
        <v>60</v>
      </c>
      <c r="G81" s="25" t="n">
        <v>60</v>
      </c>
      <c r="H81" s="26" t="n">
        <v>0.2</v>
      </c>
      <c r="I81" s="18" t="n">
        <v>219</v>
      </c>
      <c r="J81" s="18" t="n">
        <f aca="false">I81/(1+H81*$B$5)</f>
        <v>182.5</v>
      </c>
      <c r="K81" s="27" t="n">
        <v>3</v>
      </c>
      <c r="L81" s="18" t="n">
        <f aca="false">G81/60*Machinery!$H$5*Assumptions!$B$23/100</f>
        <v>0.27</v>
      </c>
      <c r="M81" s="18" t="n">
        <f aca="false">G81/60*Machinery!$K$5</f>
        <v>0.6</v>
      </c>
      <c r="N81" s="18" t="n">
        <f aca="false">G81/60*Machinery!$L$5</f>
        <v>0.857142857142857</v>
      </c>
      <c r="O81" s="18" t="n">
        <f aca="false">F81/60*Assumptions!$B$20</f>
        <v>34.463768115942</v>
      </c>
      <c r="P81" s="18" t="n">
        <f aca="false">I81*Assumptions!$B$34*Assumptions!$B$35</f>
        <v>3.53685</v>
      </c>
      <c r="Q81" s="18" t="n">
        <f aca="false">SUM(K81:P81)</f>
        <v>42.7277609730849</v>
      </c>
      <c r="R81" s="18" t="n">
        <f aca="false">J81-Q81</f>
        <v>139.772239026915</v>
      </c>
      <c r="S81" s="28" t="n">
        <f aca="false">IF(J81=0,0,R81/J81)</f>
        <v>0.765875282339261</v>
      </c>
      <c r="T81" s="26" t="n">
        <f aca="false">INDEX($B$13:$B$25,MATCH(E81,$A$13:$A$25,0))</f>
        <v>0.7</v>
      </c>
      <c r="U81" s="18" t="n">
        <f aca="false">SUM(K81:O81)/(1-T81-Assumptions!$B$34*Assumptions!$B$35*(1+H81*$B$5))</f>
        <v>139.658295820273</v>
      </c>
      <c r="V81" s="18" t="n">
        <f aca="false">MROUND(U81*(1+H81*$B$5),$B$6)</f>
        <v>168</v>
      </c>
      <c r="W81" s="26" t="n">
        <f aca="false">IF(I81=0,0,V81/I81-1)</f>
        <v>-0.232876712328767</v>
      </c>
      <c r="X81" s="29" t="n">
        <f aca="false">MROUND(V81*3*(1-$B$7),$B$6)</f>
        <v>454</v>
      </c>
      <c r="Y81" s="29" t="n">
        <f aca="false">MROUND(V81*6*(1-$B$8),$B$6)</f>
        <v>857</v>
      </c>
      <c r="Z81" s="29" t="n">
        <f aca="false">MROUND(V81*10*(1-$B$9),$B$6)</f>
        <v>1344</v>
      </c>
      <c r="AC81" s="25" t="n">
        <f aca="false">IF(OR(D81="ACTIVE",D81="CONSULTATION"),1,0)</f>
        <v>1</v>
      </c>
    </row>
    <row r="82" customFormat="false" ht="15" hidden="false" customHeight="false" outlineLevel="0" collapsed="false">
      <c r="A82" s="6" t="s">
        <v>318</v>
      </c>
      <c r="B82" s="6" t="s">
        <v>327</v>
      </c>
      <c r="C82" s="2" t="s">
        <v>280</v>
      </c>
      <c r="D82" s="2" t="s">
        <v>320</v>
      </c>
      <c r="E82" s="2" t="s">
        <v>157</v>
      </c>
      <c r="F82" s="25" t="n">
        <v>70</v>
      </c>
      <c r="G82" s="25" t="n">
        <v>70</v>
      </c>
      <c r="H82" s="26" t="n">
        <v>0.2</v>
      </c>
      <c r="I82" s="18" t="n">
        <v>321</v>
      </c>
      <c r="J82" s="18" t="n">
        <f aca="false">I82/(1+H82*$B$5)</f>
        <v>267.5</v>
      </c>
      <c r="K82" s="27" t="n">
        <v>3.5</v>
      </c>
      <c r="L82" s="18" t="n">
        <f aca="false">G82/60*Machinery!$H$5*Assumptions!$B$23/100</f>
        <v>0.315</v>
      </c>
      <c r="M82" s="18" t="n">
        <f aca="false">G82/60*Machinery!$K$5</f>
        <v>0.7</v>
      </c>
      <c r="N82" s="18" t="n">
        <f aca="false">G82/60*Machinery!$L$5</f>
        <v>1</v>
      </c>
      <c r="O82" s="18" t="n">
        <f aca="false">F82/60*Assumptions!$B$20</f>
        <v>40.207729468599</v>
      </c>
      <c r="P82" s="18" t="n">
        <f aca="false">I82*Assumptions!$B$34*Assumptions!$B$35</f>
        <v>5.18415</v>
      </c>
      <c r="Q82" s="18" t="n">
        <f aca="false">SUM(K82:P82)</f>
        <v>50.906879468599</v>
      </c>
      <c r="R82" s="18" t="n">
        <f aca="false">J82-Q82</f>
        <v>216.593120531401</v>
      </c>
      <c r="S82" s="28" t="n">
        <f aca="false">IF(J82=0,0,R82/J82)</f>
        <v>0.809693908528602</v>
      </c>
      <c r="T82" s="26" t="n">
        <f aca="false">INDEX($B$13:$B$25,MATCH(E82,$A$13:$A$25,0))</f>
        <v>0.7</v>
      </c>
      <c r="U82" s="18" t="n">
        <f aca="false">SUM(K82:O82)/(1-T82-Assumptions!$B$34*Assumptions!$B$35*(1+H82*$B$5))</f>
        <v>162.934678456985</v>
      </c>
      <c r="V82" s="18" t="n">
        <f aca="false">MROUND(U82*(1+H82*$B$5),$B$6)</f>
        <v>196</v>
      </c>
      <c r="W82" s="26" t="n">
        <f aca="false">IF(I82=0,0,V82/I82-1)</f>
        <v>-0.389408099688474</v>
      </c>
      <c r="X82" s="29" t="n">
        <f aca="false">MROUND(V82*3*(1-$B$7),$B$6)</f>
        <v>529</v>
      </c>
      <c r="Y82" s="29" t="n">
        <f aca="false">MROUND(V82*6*(1-$B$8),$B$6)</f>
        <v>1000</v>
      </c>
      <c r="Z82" s="29" t="n">
        <f aca="false">MROUND(V82*10*(1-$B$9),$B$6)</f>
        <v>1568</v>
      </c>
      <c r="AC82" s="25" t="n">
        <f aca="false">IF(OR(D82="ACTIVE",D82="CONSULTATION"),1,0)</f>
        <v>1</v>
      </c>
    </row>
    <row r="83" customFormat="false" ht="15" hidden="false" customHeight="false" outlineLevel="0" collapsed="false">
      <c r="A83" s="6" t="s">
        <v>318</v>
      </c>
      <c r="B83" s="6" t="s">
        <v>312</v>
      </c>
      <c r="C83" s="2" t="s">
        <v>280</v>
      </c>
      <c r="D83" s="2" t="s">
        <v>320</v>
      </c>
      <c r="E83" s="2" t="s">
        <v>157</v>
      </c>
      <c r="F83" s="25" t="n">
        <v>20</v>
      </c>
      <c r="G83" s="25" t="n">
        <v>20</v>
      </c>
      <c r="H83" s="26" t="n">
        <v>0.2</v>
      </c>
      <c r="I83" s="18" t="n">
        <v>61</v>
      </c>
      <c r="J83" s="18" t="n">
        <f aca="false">I83/(1+H83*$B$5)</f>
        <v>50.8333333333333</v>
      </c>
      <c r="K83" s="27" t="n">
        <v>1</v>
      </c>
      <c r="L83" s="18" t="n">
        <f aca="false">G83/60*Machinery!$H$5*Assumptions!$B$23/100</f>
        <v>0.09</v>
      </c>
      <c r="M83" s="18" t="n">
        <f aca="false">G83/60*Machinery!$K$5</f>
        <v>0.2</v>
      </c>
      <c r="N83" s="18" t="n">
        <f aca="false">G83/60*Machinery!$L$5</f>
        <v>0.285714285714286</v>
      </c>
      <c r="O83" s="18" t="n">
        <f aca="false">F83/60*Assumptions!$B$20</f>
        <v>11.487922705314</v>
      </c>
      <c r="P83" s="18" t="n">
        <f aca="false">I83*Assumptions!$B$34*Assumptions!$B$35</f>
        <v>0.98515</v>
      </c>
      <c r="Q83" s="18" t="n">
        <f aca="false">SUM(K83:P83)</f>
        <v>14.0487869910283</v>
      </c>
      <c r="R83" s="18" t="n">
        <f aca="false">J83-Q83</f>
        <v>36.784546342305</v>
      </c>
      <c r="S83" s="28" t="n">
        <f aca="false">IF(J83=0,0,R83/J83)</f>
        <v>0.723630419848624</v>
      </c>
      <c r="T83" s="26" t="n">
        <f aca="false">INDEX($B$13:$B$25,MATCH(E83,$A$13:$A$25,0))</f>
        <v>0.7</v>
      </c>
      <c r="U83" s="18" t="n">
        <f aca="false">SUM(K83:O83)/(1-T83-Assumptions!$B$34*Assumptions!$B$35*(1+H83*$B$5))</f>
        <v>46.5527652734242</v>
      </c>
      <c r="V83" s="18" t="n">
        <f aca="false">MROUND(U83*(1+H83*$B$5),$B$6)</f>
        <v>56</v>
      </c>
      <c r="W83" s="26" t="n">
        <f aca="false">IF(I83=0,0,V83/I83-1)</f>
        <v>-0.0819672131147541</v>
      </c>
      <c r="X83" s="29" t="n">
        <f aca="false">MROUND(V83*3*(1-$B$7),$B$6)</f>
        <v>151</v>
      </c>
      <c r="Y83" s="29" t="n">
        <f aca="false">MROUND(V83*6*(1-$B$8),$B$6)</f>
        <v>286</v>
      </c>
      <c r="Z83" s="29" t="n">
        <f aca="false">MROUND(V83*10*(1-$B$9),$B$6)</f>
        <v>448</v>
      </c>
      <c r="AC83" s="25" t="n">
        <f aca="false">IF(OR(D83="ACTIVE",D83="CONSULTATION"),1,0)</f>
        <v>1</v>
      </c>
    </row>
    <row r="84" customFormat="false" ht="15" hidden="false" customHeight="false" outlineLevel="0" collapsed="false">
      <c r="A84" s="6" t="s">
        <v>318</v>
      </c>
      <c r="B84" s="6" t="s">
        <v>313</v>
      </c>
      <c r="C84" s="2" t="s">
        <v>280</v>
      </c>
      <c r="D84" s="2" t="s">
        <v>320</v>
      </c>
      <c r="E84" s="2" t="s">
        <v>157</v>
      </c>
      <c r="F84" s="25" t="n">
        <v>20</v>
      </c>
      <c r="G84" s="25" t="n">
        <v>20</v>
      </c>
      <c r="H84" s="26" t="n">
        <v>0.2</v>
      </c>
      <c r="I84" s="18" t="n">
        <v>63</v>
      </c>
      <c r="J84" s="18" t="n">
        <f aca="false">I84/(1+H84*$B$5)</f>
        <v>52.5</v>
      </c>
      <c r="K84" s="27" t="n">
        <v>1.5</v>
      </c>
      <c r="L84" s="18" t="n">
        <f aca="false">G84/60*Machinery!$H$5*Assumptions!$B$23/100</f>
        <v>0.09</v>
      </c>
      <c r="M84" s="18" t="n">
        <f aca="false">G84/60*Machinery!$K$5</f>
        <v>0.2</v>
      </c>
      <c r="N84" s="18" t="n">
        <f aca="false">G84/60*Machinery!$L$5</f>
        <v>0.285714285714286</v>
      </c>
      <c r="O84" s="18" t="n">
        <f aca="false">F84/60*Assumptions!$B$20</f>
        <v>11.487922705314</v>
      </c>
      <c r="P84" s="18" t="n">
        <f aca="false">I84*Assumptions!$B$34*Assumptions!$B$35</f>
        <v>1.01745</v>
      </c>
      <c r="Q84" s="18" t="n">
        <f aca="false">SUM(K84:P84)</f>
        <v>14.5810869910283</v>
      </c>
      <c r="R84" s="18" t="n">
        <f aca="false">J84-Q84</f>
        <v>37.9189130089717</v>
      </c>
      <c r="S84" s="28" t="n">
        <f aca="false">IF(J84=0,0,R84/J84)</f>
        <v>0.722265009694699</v>
      </c>
      <c r="T84" s="26" t="n">
        <f aca="false">INDEX($B$13:$B$25,MATCH(E84,$A$13:$A$25,0))</f>
        <v>0.7</v>
      </c>
      <c r="U84" s="18" t="n">
        <f aca="false">SUM(K84:O84)/(1-T84-Assumptions!$B$34*Assumptions!$B$35*(1+H84*$B$5))</f>
        <v>48.334534213628</v>
      </c>
      <c r="V84" s="18" t="n">
        <f aca="false">MROUND(U84*(1+H84*$B$5),$B$6)</f>
        <v>58</v>
      </c>
      <c r="W84" s="26" t="n">
        <f aca="false">IF(I84=0,0,V84/I84-1)</f>
        <v>-0.0793650793650794</v>
      </c>
      <c r="X84" s="29" t="n">
        <f aca="false">MROUND(V84*3*(1-$B$7),$B$6)</f>
        <v>157</v>
      </c>
      <c r="Y84" s="29" t="n">
        <f aca="false">MROUND(V84*6*(1-$B$8),$B$6)</f>
        <v>296</v>
      </c>
      <c r="Z84" s="29" t="n">
        <f aca="false">MROUND(V84*10*(1-$B$9),$B$6)</f>
        <v>464</v>
      </c>
      <c r="AC84" s="25" t="n">
        <f aca="false">IF(OR(D84="ACTIVE",D84="CONSULTATION"),1,0)</f>
        <v>1</v>
      </c>
    </row>
    <row r="85" customFormat="false" ht="15" hidden="false" customHeight="false" outlineLevel="0" collapsed="false">
      <c r="A85" s="6" t="s">
        <v>318</v>
      </c>
      <c r="B85" s="6" t="s">
        <v>328</v>
      </c>
      <c r="C85" s="2" t="s">
        <v>280</v>
      </c>
      <c r="D85" s="2" t="s">
        <v>320</v>
      </c>
      <c r="E85" s="2" t="s">
        <v>157</v>
      </c>
      <c r="F85" s="25" t="n">
        <v>30</v>
      </c>
      <c r="G85" s="25" t="n">
        <v>30</v>
      </c>
      <c r="H85" s="26" t="n">
        <v>0.2</v>
      </c>
      <c r="I85" s="18" t="n">
        <v>95</v>
      </c>
      <c r="J85" s="18" t="n">
        <f aca="false">I85/(1+H85*$B$5)</f>
        <v>79.1666666666667</v>
      </c>
      <c r="K85" s="27" t="n">
        <v>1.5</v>
      </c>
      <c r="L85" s="18" t="n">
        <f aca="false">G85/60*Machinery!$H$5*Assumptions!$B$23/100</f>
        <v>0.135</v>
      </c>
      <c r="M85" s="18" t="n">
        <f aca="false">G85/60*Machinery!$K$5</f>
        <v>0.3</v>
      </c>
      <c r="N85" s="18" t="n">
        <f aca="false">G85/60*Machinery!$L$5</f>
        <v>0.428571428571429</v>
      </c>
      <c r="O85" s="18" t="n">
        <f aca="false">F85/60*Assumptions!$B$20</f>
        <v>17.231884057971</v>
      </c>
      <c r="P85" s="18" t="n">
        <f aca="false">I85*Assumptions!$B$34*Assumptions!$B$35</f>
        <v>1.53425</v>
      </c>
      <c r="Q85" s="18" t="n">
        <f aca="false">SUM(K85:P85)</f>
        <v>21.1297054865424</v>
      </c>
      <c r="R85" s="18" t="n">
        <f aca="false">J85-Q85</f>
        <v>58.0369611801242</v>
      </c>
      <c r="S85" s="28" t="n">
        <f aca="false">IF(J85=0,0,R85/J85)</f>
        <v>0.733098457012095</v>
      </c>
      <c r="T85" s="26" t="n">
        <f aca="false">INDEX($B$13:$B$25,MATCH(E85,$A$13:$A$25,0))</f>
        <v>0.7</v>
      </c>
      <c r="U85" s="18" t="n">
        <f aca="false">SUM(K85:O85)/(1-T85-Assumptions!$B$34*Assumptions!$B$35*(1+H85*$B$5))</f>
        <v>69.8291479101363</v>
      </c>
      <c r="V85" s="18" t="n">
        <f aca="false">MROUND(U85*(1+H85*$B$5),$B$6)</f>
        <v>84</v>
      </c>
      <c r="W85" s="26" t="n">
        <f aca="false">IF(I85=0,0,V85/I85-1)</f>
        <v>-0.115789473684211</v>
      </c>
      <c r="X85" s="29" t="n">
        <f aca="false">MROUND(V85*3*(1-$B$7),$B$6)</f>
        <v>227</v>
      </c>
      <c r="Y85" s="29" t="n">
        <f aca="false">MROUND(V85*6*(1-$B$8),$B$6)</f>
        <v>428</v>
      </c>
      <c r="Z85" s="29" t="n">
        <f aca="false">MROUND(V85*10*(1-$B$9),$B$6)</f>
        <v>672</v>
      </c>
      <c r="AC85" s="25" t="n">
        <f aca="false">IF(OR(D85="ACTIVE",D85="CONSULTATION"),1,0)</f>
        <v>1</v>
      </c>
    </row>
    <row r="86" customFormat="false" ht="15" hidden="false" customHeight="false" outlineLevel="0" collapsed="false">
      <c r="A86" s="6" t="s">
        <v>318</v>
      </c>
      <c r="B86" s="6" t="s">
        <v>329</v>
      </c>
      <c r="C86" s="2" t="s">
        <v>280</v>
      </c>
      <c r="D86" s="2" t="s">
        <v>320</v>
      </c>
      <c r="E86" s="2" t="s">
        <v>157</v>
      </c>
      <c r="F86" s="25" t="n">
        <v>40</v>
      </c>
      <c r="G86" s="25" t="n">
        <v>40</v>
      </c>
      <c r="H86" s="26" t="n">
        <v>0.2</v>
      </c>
      <c r="I86" s="18" t="n">
        <v>110</v>
      </c>
      <c r="J86" s="18" t="n">
        <f aca="false">I86/(1+H86*$B$5)</f>
        <v>91.6666666666667</v>
      </c>
      <c r="K86" s="27" t="n">
        <v>2</v>
      </c>
      <c r="L86" s="18" t="n">
        <f aca="false">G86/60*Machinery!$H$5*Assumptions!$B$23/100</f>
        <v>0.18</v>
      </c>
      <c r="M86" s="18" t="n">
        <f aca="false">G86/60*Machinery!$K$5</f>
        <v>0.4</v>
      </c>
      <c r="N86" s="18" t="n">
        <f aca="false">G86/60*Machinery!$L$5</f>
        <v>0.571428571428571</v>
      </c>
      <c r="O86" s="18" t="n">
        <f aca="false">F86/60*Assumptions!$B$20</f>
        <v>22.975845410628</v>
      </c>
      <c r="P86" s="18" t="n">
        <f aca="false">I86*Assumptions!$B$34*Assumptions!$B$35</f>
        <v>1.7765</v>
      </c>
      <c r="Q86" s="18" t="n">
        <f aca="false">SUM(K86:P86)</f>
        <v>27.9037739820566</v>
      </c>
      <c r="R86" s="18" t="n">
        <f aca="false">J86-Q86</f>
        <v>63.7628926846101</v>
      </c>
      <c r="S86" s="28" t="n">
        <f aca="false">IF(J86=0,0,R86/J86)</f>
        <v>0.695595192923019</v>
      </c>
      <c r="T86" s="26" t="n">
        <f aca="false">INDEX($B$13:$B$25,MATCH(E86,$A$13:$A$25,0))</f>
        <v>0.7</v>
      </c>
      <c r="U86" s="18" t="n">
        <f aca="false">SUM(K86:O86)/(1-T86-Assumptions!$B$34*Assumptions!$B$35*(1+H86*$B$5))</f>
        <v>93.1055305468484</v>
      </c>
      <c r="V86" s="18" t="n">
        <f aca="false">MROUND(U86*(1+H86*$B$5),$B$6)</f>
        <v>112</v>
      </c>
      <c r="W86" s="26" t="n">
        <f aca="false">IF(I86=0,0,V86/I86-1)</f>
        <v>0.0181818181818181</v>
      </c>
      <c r="X86" s="29" t="n">
        <f aca="false">MROUND(V86*3*(1-$B$7),$B$6)</f>
        <v>302</v>
      </c>
      <c r="Y86" s="29" t="n">
        <f aca="false">MROUND(V86*6*(1-$B$8),$B$6)</f>
        <v>571</v>
      </c>
      <c r="Z86" s="29" t="n">
        <f aca="false">MROUND(V86*10*(1-$B$9),$B$6)</f>
        <v>896</v>
      </c>
      <c r="AC86" s="25" t="n">
        <f aca="false">IF(OR(D86="ACTIVE",D86="CONSULTATION"),1,0)</f>
        <v>1</v>
      </c>
    </row>
    <row r="87" customFormat="false" ht="15" hidden="false" customHeight="false" outlineLevel="0" collapsed="false">
      <c r="A87" s="6" t="s">
        <v>318</v>
      </c>
      <c r="B87" s="6" t="s">
        <v>330</v>
      </c>
      <c r="C87" s="2" t="s">
        <v>280</v>
      </c>
      <c r="D87" s="2" t="s">
        <v>320</v>
      </c>
      <c r="E87" s="2" t="s">
        <v>157</v>
      </c>
      <c r="F87" s="25" t="n">
        <v>30</v>
      </c>
      <c r="G87" s="25" t="n">
        <v>30</v>
      </c>
      <c r="H87" s="26" t="n">
        <v>0.2</v>
      </c>
      <c r="I87" s="18" t="n">
        <v>118</v>
      </c>
      <c r="J87" s="18" t="n">
        <f aca="false">I87/(1+H87*$B$5)</f>
        <v>98.3333333333333</v>
      </c>
      <c r="K87" s="27" t="n">
        <v>1.5</v>
      </c>
      <c r="L87" s="18" t="n">
        <f aca="false">G87/60*Machinery!$H$5*Assumptions!$B$23/100</f>
        <v>0.135</v>
      </c>
      <c r="M87" s="18" t="n">
        <f aca="false">G87/60*Machinery!$K$5</f>
        <v>0.3</v>
      </c>
      <c r="N87" s="18" t="n">
        <f aca="false">G87/60*Machinery!$L$5</f>
        <v>0.428571428571429</v>
      </c>
      <c r="O87" s="18" t="n">
        <f aca="false">F87/60*Assumptions!$B$20</f>
        <v>17.231884057971</v>
      </c>
      <c r="P87" s="18" t="n">
        <f aca="false">I87*Assumptions!$B$34*Assumptions!$B$35</f>
        <v>1.9057</v>
      </c>
      <c r="Q87" s="18" t="n">
        <f aca="false">SUM(K87:P87)</f>
        <v>21.5011554865424</v>
      </c>
      <c r="R87" s="18" t="n">
        <f aca="false">J87-Q87</f>
        <v>76.8321778467909</v>
      </c>
      <c r="S87" s="28" t="n">
        <f aca="false">IF(J87=0,0,R87/J87)</f>
        <v>0.781344181492789</v>
      </c>
      <c r="T87" s="26" t="n">
        <f aca="false">INDEX($B$13:$B$25,MATCH(E87,$A$13:$A$25,0))</f>
        <v>0.7</v>
      </c>
      <c r="U87" s="18" t="n">
        <f aca="false">SUM(K87:O87)/(1-T87-Assumptions!$B$34*Assumptions!$B$35*(1+H87*$B$5))</f>
        <v>69.8291479101363</v>
      </c>
      <c r="V87" s="18" t="n">
        <f aca="false">MROUND(U87*(1+H87*$B$5),$B$6)</f>
        <v>84</v>
      </c>
      <c r="W87" s="26" t="n">
        <f aca="false">IF(I87=0,0,V87/I87-1)</f>
        <v>-0.288135593220339</v>
      </c>
      <c r="X87" s="29" t="n">
        <f aca="false">MROUND(V87*3*(1-$B$7),$B$6)</f>
        <v>227</v>
      </c>
      <c r="Y87" s="29" t="n">
        <f aca="false">MROUND(V87*6*(1-$B$8),$B$6)</f>
        <v>428</v>
      </c>
      <c r="Z87" s="29" t="n">
        <f aca="false">MROUND(V87*10*(1-$B$9),$B$6)</f>
        <v>672</v>
      </c>
      <c r="AC87" s="25" t="n">
        <f aca="false">IF(OR(D87="ACTIVE",D87="CONSULTATION"),1,0)</f>
        <v>1</v>
      </c>
    </row>
    <row r="88" customFormat="false" ht="15" hidden="false" customHeight="false" outlineLevel="0" collapsed="false">
      <c r="A88" s="6" t="s">
        <v>318</v>
      </c>
      <c r="B88" s="6" t="s">
        <v>316</v>
      </c>
      <c r="C88" s="2" t="s">
        <v>280</v>
      </c>
      <c r="D88" s="2" t="s">
        <v>320</v>
      </c>
      <c r="E88" s="2" t="s">
        <v>157</v>
      </c>
      <c r="F88" s="25" t="n">
        <v>60</v>
      </c>
      <c r="G88" s="25" t="n">
        <v>60</v>
      </c>
      <c r="H88" s="26" t="n">
        <v>0.2</v>
      </c>
      <c r="I88" s="18" t="n">
        <v>147</v>
      </c>
      <c r="J88" s="18" t="n">
        <f aca="false">I88/(1+H88*$B$5)</f>
        <v>122.5</v>
      </c>
      <c r="K88" s="27" t="n">
        <v>2.5</v>
      </c>
      <c r="L88" s="18" t="n">
        <f aca="false">G88/60*Machinery!$H$5*Assumptions!$B$23/100</f>
        <v>0.27</v>
      </c>
      <c r="M88" s="18" t="n">
        <f aca="false">G88/60*Machinery!$K$5</f>
        <v>0.6</v>
      </c>
      <c r="N88" s="18" t="n">
        <f aca="false">G88/60*Machinery!$L$5</f>
        <v>0.857142857142857</v>
      </c>
      <c r="O88" s="18" t="n">
        <f aca="false">F88/60*Assumptions!$B$20</f>
        <v>34.463768115942</v>
      </c>
      <c r="P88" s="18" t="n">
        <f aca="false">I88*Assumptions!$B$34*Assumptions!$B$35</f>
        <v>2.37405</v>
      </c>
      <c r="Q88" s="18" t="n">
        <f aca="false">SUM(K88:P88)</f>
        <v>41.0649609730849</v>
      </c>
      <c r="R88" s="18" t="n">
        <f aca="false">J88-Q88</f>
        <v>81.4350390269151</v>
      </c>
      <c r="S88" s="28" t="n">
        <f aca="false">IF(J88=0,0,R88/J88)</f>
        <v>0.664775828791144</v>
      </c>
      <c r="T88" s="26" t="n">
        <f aca="false">INDEX($B$13:$B$25,MATCH(E88,$A$13:$A$25,0))</f>
        <v>0.7</v>
      </c>
      <c r="U88" s="18" t="n">
        <f aca="false">SUM(K88:O88)/(1-T88-Assumptions!$B$34*Assumptions!$B$35*(1+H88*$B$5))</f>
        <v>137.876526880069</v>
      </c>
      <c r="V88" s="18" t="n">
        <f aca="false">MROUND(U88*(1+H88*$B$5),$B$6)</f>
        <v>165</v>
      </c>
      <c r="W88" s="26" t="n">
        <f aca="false">IF(I88=0,0,V88/I88-1)</f>
        <v>0.122448979591837</v>
      </c>
      <c r="X88" s="29" t="n">
        <f aca="false">MROUND(V88*3*(1-$B$7),$B$6)</f>
        <v>446</v>
      </c>
      <c r="Y88" s="29" t="n">
        <f aca="false">MROUND(V88*6*(1-$B$8),$B$6)</f>
        <v>842</v>
      </c>
      <c r="Z88" s="29" t="n">
        <f aca="false">MROUND(V88*10*(1-$B$9),$B$6)</f>
        <v>1320</v>
      </c>
      <c r="AC88" s="25" t="n">
        <f aca="false">IF(OR(D88="ACTIVE",D88="CONSULTATION"),1,0)</f>
        <v>1</v>
      </c>
    </row>
    <row r="89" customFormat="false" ht="15" hidden="false" customHeight="false" outlineLevel="0" collapsed="false">
      <c r="A89" s="6" t="s">
        <v>331</v>
      </c>
      <c r="B89" s="6" t="s">
        <v>332</v>
      </c>
      <c r="C89" s="2" t="s">
        <v>280</v>
      </c>
      <c r="D89" s="30" t="s">
        <v>333</v>
      </c>
      <c r="E89" s="2" t="s">
        <v>172</v>
      </c>
      <c r="F89" s="25" t="n">
        <v>40</v>
      </c>
      <c r="G89" s="25" t="n">
        <v>40</v>
      </c>
      <c r="H89" s="26" t="n">
        <v>0.2</v>
      </c>
      <c r="I89" s="18" t="n">
        <v>690</v>
      </c>
      <c r="J89" s="18" t="n">
        <f aca="false">I89/(1+H89*$B$5)</f>
        <v>575</v>
      </c>
      <c r="K89" s="27" t="n">
        <v>50</v>
      </c>
      <c r="L89" s="18" t="n">
        <f aca="false">G89/60*Machinery!$H$8*Assumptions!$B$23/100</f>
        <v>0.072</v>
      </c>
      <c r="M89" s="18" t="n">
        <f aca="false">G89/60*Machinery!$K$8</f>
        <v>27.7777777777778</v>
      </c>
      <c r="N89" s="18" t="n">
        <f aca="false">G89/60*Machinery!$L$8</f>
        <v>42.4382716049383</v>
      </c>
      <c r="O89" s="18" t="n">
        <f aca="false">F89/60*Assumptions!$B$20</f>
        <v>22.975845410628</v>
      </c>
      <c r="P89" s="18" t="n">
        <f aca="false">I89*Assumptions!$B$34*Assumptions!$B$35</f>
        <v>11.1435</v>
      </c>
      <c r="Q89" s="18" t="n">
        <f aca="false">SUM(K89:P89)</f>
        <v>154.407394793344</v>
      </c>
      <c r="R89" s="18" t="n">
        <f aca="false">J89-Q89</f>
        <v>420.592605206656</v>
      </c>
      <c r="S89" s="28" t="n">
        <f aca="false">IF(J89=0,0,R89/J89)</f>
        <v>0.731465400359402</v>
      </c>
      <c r="T89" s="26" t="n">
        <f aca="false">INDEX($B$13:$B$25,MATCH(E89,$A$13:$A$25,0))</f>
        <v>0.7</v>
      </c>
      <c r="U89" s="18" t="n">
        <f aca="false">SUM(K89:O89)/(1-T89-Assumptions!$B$34*Assumptions!$B$35*(1+H89*$B$5))</f>
        <v>510.526315990821</v>
      </c>
      <c r="V89" s="18" t="n">
        <f aca="false">MROUND(U89*(1+H89*$B$5),$B$6)</f>
        <v>613</v>
      </c>
      <c r="W89" s="26" t="n">
        <f aca="false">IF(I89=0,0,V89/I89-1)</f>
        <v>-0.111594202898551</v>
      </c>
      <c r="X89" s="29" t="n">
        <f aca="false">MROUND(V89*3*(1-$B$7),$B$6)</f>
        <v>1655</v>
      </c>
      <c r="Y89" s="29" t="n">
        <f aca="false">MROUND(V89*6*(1-$B$8),$B$6)</f>
        <v>3126</v>
      </c>
      <c r="Z89" s="29" t="n">
        <f aca="false">MROUND(V89*10*(1-$B$9),$B$6)</f>
        <v>4904</v>
      </c>
      <c r="AC89" s="25" t="n">
        <f aca="false">IF(OR(D89="ACTIVE",D89="CONSULTATION"),1,0)</f>
        <v>0</v>
      </c>
    </row>
    <row r="90" customFormat="false" ht="15" hidden="false" customHeight="false" outlineLevel="0" collapsed="false">
      <c r="A90" s="6" t="s">
        <v>331</v>
      </c>
      <c r="B90" s="6" t="s">
        <v>334</v>
      </c>
      <c r="C90" s="2" t="s">
        <v>280</v>
      </c>
      <c r="D90" s="30" t="s">
        <v>333</v>
      </c>
      <c r="E90" s="2" t="s">
        <v>172</v>
      </c>
      <c r="F90" s="25" t="n">
        <v>40</v>
      </c>
      <c r="G90" s="25" t="n">
        <v>40</v>
      </c>
      <c r="H90" s="26" t="n">
        <v>0.2</v>
      </c>
      <c r="I90" s="18" t="n">
        <v>690</v>
      </c>
      <c r="J90" s="18" t="n">
        <f aca="false">I90/(1+H90*$B$5)</f>
        <v>575</v>
      </c>
      <c r="K90" s="27" t="n">
        <v>50</v>
      </c>
      <c r="L90" s="18" t="n">
        <f aca="false">G90/60*Machinery!$H$8*Assumptions!$B$23/100</f>
        <v>0.072</v>
      </c>
      <c r="M90" s="18" t="n">
        <f aca="false">G90/60*Machinery!$K$8</f>
        <v>27.7777777777778</v>
      </c>
      <c r="N90" s="18" t="n">
        <f aca="false">G90/60*Machinery!$L$8</f>
        <v>42.4382716049383</v>
      </c>
      <c r="O90" s="18" t="n">
        <f aca="false">F90/60*Assumptions!$B$20</f>
        <v>22.975845410628</v>
      </c>
      <c r="P90" s="18" t="n">
        <f aca="false">I90*Assumptions!$B$34*Assumptions!$B$35</f>
        <v>11.1435</v>
      </c>
      <c r="Q90" s="18" t="n">
        <f aca="false">SUM(K90:P90)</f>
        <v>154.407394793344</v>
      </c>
      <c r="R90" s="18" t="n">
        <f aca="false">J90-Q90</f>
        <v>420.592605206656</v>
      </c>
      <c r="S90" s="28" t="n">
        <f aca="false">IF(J90=0,0,R90/J90)</f>
        <v>0.731465400359402</v>
      </c>
      <c r="T90" s="26" t="n">
        <f aca="false">INDEX($B$13:$B$25,MATCH(E90,$A$13:$A$25,0))</f>
        <v>0.7</v>
      </c>
      <c r="U90" s="18" t="n">
        <f aca="false">SUM(K90:O90)/(1-T90-Assumptions!$B$34*Assumptions!$B$35*(1+H90*$B$5))</f>
        <v>510.526315990821</v>
      </c>
      <c r="V90" s="18" t="n">
        <f aca="false">MROUND(U90*(1+H90*$B$5),$B$6)</f>
        <v>613</v>
      </c>
      <c r="W90" s="26" t="n">
        <f aca="false">IF(I90=0,0,V90/I90-1)</f>
        <v>-0.111594202898551</v>
      </c>
      <c r="X90" s="29" t="n">
        <f aca="false">MROUND(V90*3*(1-$B$7),$B$6)</f>
        <v>1655</v>
      </c>
      <c r="Y90" s="29" t="n">
        <f aca="false">MROUND(V90*6*(1-$B$8),$B$6)</f>
        <v>3126</v>
      </c>
      <c r="Z90" s="29" t="n">
        <f aca="false">MROUND(V90*10*(1-$B$9),$B$6)</f>
        <v>4904</v>
      </c>
      <c r="AC90" s="25" t="n">
        <f aca="false">IF(OR(D90="ACTIVE",D90="CONSULTATION"),1,0)</f>
        <v>0</v>
      </c>
    </row>
    <row r="91" customFormat="false" ht="15" hidden="false" customHeight="false" outlineLevel="0" collapsed="false">
      <c r="A91" s="6" t="s">
        <v>335</v>
      </c>
      <c r="B91" s="6" t="s">
        <v>336</v>
      </c>
      <c r="C91" s="2" t="s">
        <v>280</v>
      </c>
      <c r="D91" s="2" t="s">
        <v>320</v>
      </c>
      <c r="E91" s="2" t="s">
        <v>162</v>
      </c>
      <c r="F91" s="25" t="n">
        <v>30</v>
      </c>
      <c r="G91" s="25" t="n">
        <v>30</v>
      </c>
      <c r="H91" s="26" t="n">
        <v>0.2</v>
      </c>
      <c r="I91" s="18" t="n">
        <v>150</v>
      </c>
      <c r="J91" s="18" t="n">
        <f aca="false">I91/(1+H91*$B$5)</f>
        <v>125</v>
      </c>
      <c r="K91" s="27" t="n">
        <v>2</v>
      </c>
      <c r="L91" s="18" t="n">
        <f aca="false">G91/60*Machinery!$H$6*Assumptions!$B$23/100</f>
        <v>0.108</v>
      </c>
      <c r="M91" s="18" t="n">
        <f aca="false">G91/60*Machinery!$K$6</f>
        <v>4.16666666666667</v>
      </c>
      <c r="N91" s="18" t="n">
        <f aca="false">G91/60*Machinery!$L$6</f>
        <v>7.8125</v>
      </c>
      <c r="O91" s="18" t="n">
        <f aca="false">F91/60*Assumptions!$B$20</f>
        <v>17.231884057971</v>
      </c>
      <c r="P91" s="18" t="n">
        <f aca="false">I91*Assumptions!$B$34*Assumptions!$B$35</f>
        <v>2.4225</v>
      </c>
      <c r="Q91" s="18" t="n">
        <f aca="false">SUM(K91:P91)</f>
        <v>33.7415507246377</v>
      </c>
      <c r="R91" s="18" t="n">
        <f aca="false">J91-Q91</f>
        <v>91.2584492753623</v>
      </c>
      <c r="S91" s="28" t="n">
        <f aca="false">IF(J91=0,0,R91/J91)</f>
        <v>0.730067594202899</v>
      </c>
      <c r="T91" s="26" t="n">
        <f aca="false">INDEX($B$13:$B$25,MATCH(E91,$A$13:$A$25,0))</f>
        <v>0.7</v>
      </c>
      <c r="U91" s="18" t="n">
        <f aca="false">SUM(K91:O91)/(1-T91-Assumptions!$B$34*Assumptions!$B$35*(1+H91*$B$5))</f>
        <v>111.606623635656</v>
      </c>
      <c r="V91" s="18" t="n">
        <f aca="false">MROUND(U91*(1+H91*$B$5),$B$6)</f>
        <v>134</v>
      </c>
      <c r="W91" s="26" t="n">
        <f aca="false">IF(I91=0,0,V91/I91-1)</f>
        <v>-0.106666666666667</v>
      </c>
      <c r="X91" s="29" t="n">
        <f aca="false">MROUND(V91*3*(1-$B$7),$B$6)</f>
        <v>362</v>
      </c>
      <c r="Y91" s="29" t="n">
        <f aca="false">MROUND(V91*6*(1-$B$8),$B$6)</f>
        <v>683</v>
      </c>
      <c r="Z91" s="29" t="n">
        <f aca="false">MROUND(V91*10*(1-$B$9),$B$6)</f>
        <v>1072</v>
      </c>
      <c r="AC91" s="25" t="n">
        <f aca="false">IF(OR(D91="ACTIVE",D91="CONSULTATION"),1,0)</f>
        <v>1</v>
      </c>
    </row>
    <row r="92" customFormat="false" ht="15" hidden="false" customHeight="false" outlineLevel="0" collapsed="false">
      <c r="A92" s="6" t="s">
        <v>337</v>
      </c>
      <c r="B92" s="6" t="s">
        <v>336</v>
      </c>
      <c r="C92" s="2" t="s">
        <v>280</v>
      </c>
      <c r="D92" s="2" t="s">
        <v>320</v>
      </c>
      <c r="E92" s="2" t="s">
        <v>162</v>
      </c>
      <c r="F92" s="25" t="n">
        <v>30</v>
      </c>
      <c r="G92" s="25" t="n">
        <v>30</v>
      </c>
      <c r="H92" s="26" t="n">
        <v>0.2</v>
      </c>
      <c r="I92" s="18" t="n">
        <v>150</v>
      </c>
      <c r="J92" s="18" t="n">
        <f aca="false">I92/(1+H92*$B$5)</f>
        <v>125</v>
      </c>
      <c r="K92" s="27" t="n">
        <v>2</v>
      </c>
      <c r="L92" s="18" t="n">
        <f aca="false">G92/60*Machinery!$H$6*Assumptions!$B$23/100</f>
        <v>0.108</v>
      </c>
      <c r="M92" s="18" t="n">
        <f aca="false">G92/60*Machinery!$K$6</f>
        <v>4.16666666666667</v>
      </c>
      <c r="N92" s="18" t="n">
        <f aca="false">G92/60*Machinery!$L$6</f>
        <v>7.8125</v>
      </c>
      <c r="O92" s="18" t="n">
        <f aca="false">F92/60*Assumptions!$B$20</f>
        <v>17.231884057971</v>
      </c>
      <c r="P92" s="18" t="n">
        <f aca="false">I92*Assumptions!$B$34*Assumptions!$B$35</f>
        <v>2.4225</v>
      </c>
      <c r="Q92" s="18" t="n">
        <f aca="false">SUM(K92:P92)</f>
        <v>33.7415507246377</v>
      </c>
      <c r="R92" s="18" t="n">
        <f aca="false">J92-Q92</f>
        <v>91.2584492753623</v>
      </c>
      <c r="S92" s="28" t="n">
        <f aca="false">IF(J92=0,0,R92/J92)</f>
        <v>0.730067594202899</v>
      </c>
      <c r="T92" s="26" t="n">
        <f aca="false">INDEX($B$13:$B$25,MATCH(E92,$A$13:$A$25,0))</f>
        <v>0.7</v>
      </c>
      <c r="U92" s="18" t="n">
        <f aca="false">SUM(K92:O92)/(1-T92-Assumptions!$B$34*Assumptions!$B$35*(1+H92*$B$5))</f>
        <v>111.606623635656</v>
      </c>
      <c r="V92" s="18" t="n">
        <f aca="false">MROUND(U92*(1+H92*$B$5),$B$6)</f>
        <v>134</v>
      </c>
      <c r="W92" s="26" t="n">
        <f aca="false">IF(I92=0,0,V92/I92-1)</f>
        <v>-0.106666666666667</v>
      </c>
      <c r="X92" s="29" t="n">
        <f aca="false">MROUND(V92*3*(1-$B$7),$B$6)</f>
        <v>362</v>
      </c>
      <c r="Y92" s="29" t="n">
        <f aca="false">MROUND(V92*6*(1-$B$8),$B$6)</f>
        <v>683</v>
      </c>
      <c r="Z92" s="29" t="n">
        <f aca="false">MROUND(V92*10*(1-$B$9),$B$6)</f>
        <v>1072</v>
      </c>
      <c r="AC92" s="25" t="n">
        <f aca="false">IF(OR(D92="ACTIVE",D92="CONSULTATION"),1,0)</f>
        <v>1</v>
      </c>
    </row>
    <row r="93" customFormat="false" ht="15" hidden="false" customHeight="false" outlineLevel="0" collapsed="false">
      <c r="A93" s="6" t="s">
        <v>338</v>
      </c>
      <c r="B93" s="6" t="s">
        <v>339</v>
      </c>
      <c r="C93" s="2" t="s">
        <v>280</v>
      </c>
      <c r="D93" s="2" t="s">
        <v>281</v>
      </c>
      <c r="E93" s="2" t="s">
        <v>162</v>
      </c>
      <c r="F93" s="25" t="n">
        <v>25</v>
      </c>
      <c r="G93" s="25" t="n">
        <v>25</v>
      </c>
      <c r="H93" s="26" t="n">
        <v>0.2</v>
      </c>
      <c r="I93" s="18" t="n">
        <v>230</v>
      </c>
      <c r="J93" s="18" t="n">
        <f aca="false">I93/(1+H93*$B$5)</f>
        <v>191.666666666667</v>
      </c>
      <c r="K93" s="27" t="n">
        <v>2</v>
      </c>
      <c r="L93" s="18" t="n">
        <f aca="false">G93/60*Machinery!$H$6*Assumptions!$B$23/100</f>
        <v>0.09</v>
      </c>
      <c r="M93" s="18" t="n">
        <f aca="false">G93/60*Machinery!$K$6</f>
        <v>3.47222222222222</v>
      </c>
      <c r="N93" s="18" t="n">
        <f aca="false">G93/60*Machinery!$L$6</f>
        <v>6.51041666666667</v>
      </c>
      <c r="O93" s="18" t="n">
        <f aca="false">F93/60*Assumptions!$B$20</f>
        <v>14.3599033816425</v>
      </c>
      <c r="P93" s="18" t="n">
        <f aca="false">I93*Assumptions!$B$34*Assumptions!$B$35</f>
        <v>3.7145</v>
      </c>
      <c r="Q93" s="18" t="n">
        <f aca="false">SUM(K93:P93)</f>
        <v>30.1470422705314</v>
      </c>
      <c r="R93" s="18" t="n">
        <f aca="false">J93-Q93</f>
        <v>161.519624396135</v>
      </c>
      <c r="S93" s="28" t="n">
        <f aca="false">IF(J93=0,0,R93/J93)</f>
        <v>0.842711083805923</v>
      </c>
      <c r="T93" s="26" t="n">
        <f aca="false">INDEX($B$13:$B$25,MATCH(E93,$A$13:$A$25,0))</f>
        <v>0.7</v>
      </c>
      <c r="U93" s="18" t="n">
        <f aca="false">SUM(K93:O93)/(1-T93-Assumptions!$B$34*Assumptions!$B$35*(1+H93*$B$5))</f>
        <v>94.1933656565156</v>
      </c>
      <c r="V93" s="18" t="n">
        <f aca="false">MROUND(U93*(1+H93*$B$5),$B$6)</f>
        <v>113</v>
      </c>
      <c r="W93" s="26" t="n">
        <f aca="false">IF(I93=0,0,V93/I93-1)</f>
        <v>-0.508695652173913</v>
      </c>
      <c r="X93" s="29" t="n">
        <f aca="false">MROUND(V93*3*(1-$B$7),$B$6)</f>
        <v>305</v>
      </c>
      <c r="Y93" s="29" t="n">
        <f aca="false">MROUND(V93*6*(1-$B$8),$B$6)</f>
        <v>576</v>
      </c>
      <c r="Z93" s="29" t="n">
        <f aca="false">MROUND(V93*10*(1-$B$9),$B$6)</f>
        <v>904</v>
      </c>
      <c r="AC93" s="25" t="n">
        <f aca="false">IF(OR(D93="ACTIVE",D93="CONSULTATION"),1,0)</f>
        <v>1</v>
      </c>
    </row>
    <row r="94" customFormat="false" ht="15" hidden="false" customHeight="false" outlineLevel="0" collapsed="false">
      <c r="A94" s="6" t="s">
        <v>338</v>
      </c>
      <c r="B94" s="6" t="s">
        <v>340</v>
      </c>
      <c r="C94" s="2" t="s">
        <v>280</v>
      </c>
      <c r="D94" s="2" t="s">
        <v>281</v>
      </c>
      <c r="E94" s="2" t="s">
        <v>162</v>
      </c>
      <c r="F94" s="25" t="n">
        <v>30</v>
      </c>
      <c r="G94" s="25" t="n">
        <v>30</v>
      </c>
      <c r="H94" s="26" t="n">
        <v>0.2</v>
      </c>
      <c r="I94" s="18" t="n">
        <v>296</v>
      </c>
      <c r="J94" s="18" t="n">
        <f aca="false">I94/(1+H94*$B$5)</f>
        <v>246.666666666667</v>
      </c>
      <c r="K94" s="27" t="n">
        <v>2</v>
      </c>
      <c r="L94" s="18" t="n">
        <f aca="false">G94/60*Machinery!$H$6*Assumptions!$B$23/100</f>
        <v>0.108</v>
      </c>
      <c r="M94" s="18" t="n">
        <f aca="false">G94/60*Machinery!$K$6</f>
        <v>4.16666666666667</v>
      </c>
      <c r="N94" s="18" t="n">
        <f aca="false">G94/60*Machinery!$L$6</f>
        <v>7.8125</v>
      </c>
      <c r="O94" s="18" t="n">
        <f aca="false">F94/60*Assumptions!$B$20</f>
        <v>17.231884057971</v>
      </c>
      <c r="P94" s="18" t="n">
        <f aca="false">I94*Assumptions!$B$34*Assumptions!$B$35</f>
        <v>4.7804</v>
      </c>
      <c r="Q94" s="18" t="n">
        <f aca="false">SUM(K94:P94)</f>
        <v>36.0994507246377</v>
      </c>
      <c r="R94" s="18" t="n">
        <f aca="false">J94-Q94</f>
        <v>210.567215942029</v>
      </c>
      <c r="S94" s="28" t="n">
        <f aca="false">IF(J94=0,0,R94/J94)</f>
        <v>0.853650875440658</v>
      </c>
      <c r="T94" s="26" t="n">
        <f aca="false">INDEX($B$13:$B$25,MATCH(E94,$A$13:$A$25,0))</f>
        <v>0.7</v>
      </c>
      <c r="U94" s="18" t="n">
        <f aca="false">SUM(K94:O94)/(1-T94-Assumptions!$B$34*Assumptions!$B$35*(1+H94*$B$5))</f>
        <v>111.606623635656</v>
      </c>
      <c r="V94" s="18" t="n">
        <f aca="false">MROUND(U94*(1+H94*$B$5),$B$6)</f>
        <v>134</v>
      </c>
      <c r="W94" s="26" t="n">
        <f aca="false">IF(I94=0,0,V94/I94-1)</f>
        <v>-0.547297297297297</v>
      </c>
      <c r="X94" s="29" t="n">
        <f aca="false">MROUND(V94*3*(1-$B$7),$B$6)</f>
        <v>362</v>
      </c>
      <c r="Y94" s="29" t="n">
        <f aca="false">MROUND(V94*6*(1-$B$8),$B$6)</f>
        <v>683</v>
      </c>
      <c r="Z94" s="29" t="n">
        <f aca="false">MROUND(V94*10*(1-$B$9),$B$6)</f>
        <v>1072</v>
      </c>
      <c r="AC94" s="25" t="n">
        <f aca="false">IF(OR(D94="ACTIVE",D94="CONSULTATION"),1,0)</f>
        <v>1</v>
      </c>
    </row>
    <row r="95" customFormat="false" ht="15" hidden="false" customHeight="false" outlineLevel="0" collapsed="false">
      <c r="A95" s="6" t="s">
        <v>338</v>
      </c>
      <c r="B95" s="6" t="s">
        <v>341</v>
      </c>
      <c r="C95" s="2" t="s">
        <v>280</v>
      </c>
      <c r="D95" s="2" t="s">
        <v>281</v>
      </c>
      <c r="E95" s="2" t="s">
        <v>162</v>
      </c>
      <c r="F95" s="25" t="n">
        <v>40</v>
      </c>
      <c r="G95" s="25" t="n">
        <v>40</v>
      </c>
      <c r="H95" s="26" t="n">
        <v>0.2</v>
      </c>
      <c r="I95" s="18" t="n">
        <v>417</v>
      </c>
      <c r="J95" s="18" t="n">
        <f aca="false">I95/(1+H95*$B$5)</f>
        <v>347.5</v>
      </c>
      <c r="K95" s="27" t="n">
        <v>3</v>
      </c>
      <c r="L95" s="18" t="n">
        <f aca="false">G95/60*Machinery!$H$6*Assumptions!$B$23/100</f>
        <v>0.144</v>
      </c>
      <c r="M95" s="18" t="n">
        <f aca="false">G95/60*Machinery!$K$6</f>
        <v>5.55555555555556</v>
      </c>
      <c r="N95" s="18" t="n">
        <f aca="false">G95/60*Machinery!$L$6</f>
        <v>10.4166666666667</v>
      </c>
      <c r="O95" s="18" t="n">
        <f aca="false">F95/60*Assumptions!$B$20</f>
        <v>22.975845410628</v>
      </c>
      <c r="P95" s="18" t="n">
        <f aca="false">I95*Assumptions!$B$34*Assumptions!$B$35</f>
        <v>6.73455</v>
      </c>
      <c r="Q95" s="18" t="n">
        <f aca="false">SUM(K95:P95)</f>
        <v>48.8266176328502</v>
      </c>
      <c r="R95" s="18" t="n">
        <f aca="false">J95-Q95</f>
        <v>298.67338236715</v>
      </c>
      <c r="S95" s="28" t="n">
        <f aca="false">IF(J95=0,0,R95/J95)</f>
        <v>0.859491747819136</v>
      </c>
      <c r="T95" s="26" t="n">
        <f aca="false">INDEX($B$13:$B$25,MATCH(E95,$A$13:$A$25,0))</f>
        <v>0.7</v>
      </c>
      <c r="U95" s="18" t="n">
        <f aca="false">SUM(K95:O95)/(1-T95-Assumptions!$B$34*Assumptions!$B$35*(1+H95*$B$5))</f>
        <v>149.996677474343</v>
      </c>
      <c r="V95" s="18" t="n">
        <f aca="false">MROUND(U95*(1+H95*$B$5),$B$6)</f>
        <v>180</v>
      </c>
      <c r="W95" s="26" t="n">
        <f aca="false">IF(I95=0,0,V95/I95-1)</f>
        <v>-0.568345323741007</v>
      </c>
      <c r="X95" s="29" t="n">
        <f aca="false">MROUND(V95*3*(1-$B$7),$B$6)</f>
        <v>486</v>
      </c>
      <c r="Y95" s="29" t="n">
        <f aca="false">MROUND(V95*6*(1-$B$8),$B$6)</f>
        <v>918</v>
      </c>
      <c r="Z95" s="29" t="n">
        <f aca="false">MROUND(V95*10*(1-$B$9),$B$6)</f>
        <v>1440</v>
      </c>
      <c r="AC95" s="25" t="n">
        <f aca="false">IF(OR(D95="ACTIVE",D95="CONSULTATION"),1,0)</f>
        <v>1</v>
      </c>
    </row>
    <row r="96" customFormat="false" ht="15" hidden="false" customHeight="false" outlineLevel="0" collapsed="false">
      <c r="A96" s="6" t="s">
        <v>342</v>
      </c>
      <c r="B96" s="6" t="s">
        <v>343</v>
      </c>
      <c r="C96" s="2" t="s">
        <v>280</v>
      </c>
      <c r="D96" s="30" t="s">
        <v>344</v>
      </c>
      <c r="E96" s="2" t="s">
        <v>162</v>
      </c>
      <c r="F96" s="25" t="n">
        <v>30</v>
      </c>
      <c r="G96" s="25" t="n">
        <v>30</v>
      </c>
      <c r="H96" s="26" t="n">
        <v>0.2</v>
      </c>
      <c r="I96" s="18" t="n">
        <v>90</v>
      </c>
      <c r="J96" s="18" t="n">
        <f aca="false">I96/(1+H96*$B$5)</f>
        <v>75</v>
      </c>
      <c r="K96" s="27" t="n">
        <v>5</v>
      </c>
      <c r="L96" s="18" t="n">
        <f aca="false">G96/60*Machinery!$H$6*Assumptions!$B$23/100</f>
        <v>0.108</v>
      </c>
      <c r="M96" s="18" t="n">
        <f aca="false">G96/60*Machinery!$K$6</f>
        <v>4.16666666666667</v>
      </c>
      <c r="N96" s="18" t="n">
        <f aca="false">G96/60*Machinery!$L$6</f>
        <v>7.8125</v>
      </c>
      <c r="O96" s="18" t="n">
        <f aca="false">F96/60*Assumptions!$B$20</f>
        <v>17.231884057971</v>
      </c>
      <c r="P96" s="18" t="n">
        <f aca="false">I96*Assumptions!$B$34*Assumptions!$B$35</f>
        <v>1.4535</v>
      </c>
      <c r="Q96" s="18" t="n">
        <f aca="false">SUM(K96:P96)</f>
        <v>35.7725507246377</v>
      </c>
      <c r="R96" s="18" t="n">
        <f aca="false">J96-Q96</f>
        <v>39.2274492753623</v>
      </c>
      <c r="S96" s="28" t="n">
        <f aca="false">IF(J96=0,0,R96/J96)</f>
        <v>0.523032657004831</v>
      </c>
      <c r="T96" s="26" t="n">
        <f aca="false">INDEX($B$13:$B$25,MATCH(E96,$A$13:$A$25,0))</f>
        <v>0.7</v>
      </c>
      <c r="U96" s="18" t="n">
        <f aca="false">SUM(K96:O96)/(1-T96-Assumptions!$B$34*Assumptions!$B$35*(1+H96*$B$5))</f>
        <v>122.297237276879</v>
      </c>
      <c r="V96" s="18" t="n">
        <f aca="false">MROUND(U96*(1+H96*$B$5),$B$6)</f>
        <v>147</v>
      </c>
      <c r="W96" s="26" t="n">
        <f aca="false">IF(I96=0,0,V96/I96-1)</f>
        <v>0.633333333333333</v>
      </c>
      <c r="X96" s="29" t="n">
        <f aca="false">MROUND(V96*3*(1-$B$7),$B$6)</f>
        <v>397</v>
      </c>
      <c r="Y96" s="29" t="n">
        <f aca="false">MROUND(V96*6*(1-$B$8),$B$6)</f>
        <v>750</v>
      </c>
      <c r="Z96" s="29" t="n">
        <f aca="false">MROUND(V96*10*(1-$B$9),$B$6)</f>
        <v>1176</v>
      </c>
      <c r="AC96" s="25" t="n">
        <f aca="false">IF(OR(D96="ACTIVE",D96="CONSULTATION"),1,0)</f>
        <v>0</v>
      </c>
    </row>
    <row r="97" customFormat="false" ht="15" hidden="false" customHeight="false" outlineLevel="0" collapsed="false">
      <c r="A97" s="6" t="s">
        <v>342</v>
      </c>
      <c r="B97" s="6" t="s">
        <v>301</v>
      </c>
      <c r="C97" s="2" t="s">
        <v>280</v>
      </c>
      <c r="D97" s="30" t="s">
        <v>344</v>
      </c>
      <c r="E97" s="2" t="s">
        <v>162</v>
      </c>
      <c r="F97" s="25" t="n">
        <v>50</v>
      </c>
      <c r="G97" s="25" t="n">
        <v>50</v>
      </c>
      <c r="H97" s="26" t="n">
        <v>0.2</v>
      </c>
      <c r="I97" s="18" t="n">
        <v>121</v>
      </c>
      <c r="J97" s="18" t="n">
        <f aca="false">I97/(1+H97*$B$5)</f>
        <v>100.833333333333</v>
      </c>
      <c r="K97" s="27" t="n">
        <v>5</v>
      </c>
      <c r="L97" s="18" t="n">
        <f aca="false">G97/60*Machinery!$H$6*Assumptions!$B$23/100</f>
        <v>0.18</v>
      </c>
      <c r="M97" s="18" t="n">
        <f aca="false">G97/60*Machinery!$K$6</f>
        <v>6.94444444444445</v>
      </c>
      <c r="N97" s="18" t="n">
        <f aca="false">G97/60*Machinery!$L$6</f>
        <v>13.0208333333333</v>
      </c>
      <c r="O97" s="18" t="n">
        <f aca="false">F97/60*Assumptions!$B$20</f>
        <v>28.719806763285</v>
      </c>
      <c r="P97" s="18" t="n">
        <f aca="false">I97*Assumptions!$B$34*Assumptions!$B$35</f>
        <v>1.95415</v>
      </c>
      <c r="Q97" s="18" t="n">
        <f aca="false">SUM(K97:P97)</f>
        <v>55.8192345410628</v>
      </c>
      <c r="R97" s="18" t="n">
        <f aca="false">J97-Q97</f>
        <v>45.0140987922705</v>
      </c>
      <c r="S97" s="28" t="n">
        <f aca="false">IF(J97=0,0,R97/J97)</f>
        <v>0.446420814468799</v>
      </c>
      <c r="T97" s="26" t="n">
        <f aca="false">INDEX($B$13:$B$25,MATCH(E97,$A$13:$A$25,0))</f>
        <v>0.7</v>
      </c>
      <c r="U97" s="18" t="n">
        <f aca="false">SUM(K97:O97)/(1-T97-Assumptions!$B$34*Assumptions!$B$35*(1+H97*$B$5))</f>
        <v>191.950269193439</v>
      </c>
      <c r="V97" s="18" t="n">
        <f aca="false">MROUND(U97*(1+H97*$B$5),$B$6)</f>
        <v>230</v>
      </c>
      <c r="W97" s="26" t="n">
        <f aca="false">IF(I97=0,0,V97/I97-1)</f>
        <v>0.900826446280992</v>
      </c>
      <c r="X97" s="29" t="n">
        <f aca="false">MROUND(V97*3*(1-$B$7),$B$6)</f>
        <v>621</v>
      </c>
      <c r="Y97" s="29" t="n">
        <f aca="false">MROUND(V97*6*(1-$B$8),$B$6)</f>
        <v>1173</v>
      </c>
      <c r="Z97" s="29" t="n">
        <f aca="false">MROUND(V97*10*(1-$B$9),$B$6)</f>
        <v>1840</v>
      </c>
      <c r="AC97" s="25" t="n">
        <f aca="false">IF(OR(D97="ACTIVE",D97="CONSULTATION"),1,0)</f>
        <v>0</v>
      </c>
    </row>
    <row r="98" customFormat="false" ht="15" hidden="false" customHeight="false" outlineLevel="0" collapsed="false">
      <c r="A98" s="6" t="s">
        <v>342</v>
      </c>
      <c r="B98" s="6" t="s">
        <v>345</v>
      </c>
      <c r="C98" s="2" t="s">
        <v>280</v>
      </c>
      <c r="D98" s="30" t="s">
        <v>344</v>
      </c>
      <c r="E98" s="2" t="s">
        <v>162</v>
      </c>
      <c r="F98" s="25" t="n">
        <v>60</v>
      </c>
      <c r="G98" s="25" t="n">
        <v>60</v>
      </c>
      <c r="H98" s="26" t="n">
        <v>0.2</v>
      </c>
      <c r="I98" s="18" t="n">
        <v>205</v>
      </c>
      <c r="J98" s="18" t="n">
        <f aca="false">I98/(1+H98*$B$5)</f>
        <v>170.833333333333</v>
      </c>
      <c r="K98" s="27" t="n">
        <v>6</v>
      </c>
      <c r="L98" s="18" t="n">
        <f aca="false">G98/60*Machinery!$H$6*Assumptions!$B$23/100</f>
        <v>0.216</v>
      </c>
      <c r="M98" s="18" t="n">
        <f aca="false">G98/60*Machinery!$K$6</f>
        <v>8.33333333333333</v>
      </c>
      <c r="N98" s="18" t="n">
        <f aca="false">G98/60*Machinery!$L$6</f>
        <v>15.625</v>
      </c>
      <c r="O98" s="18" t="n">
        <f aca="false">F98/60*Assumptions!$B$20</f>
        <v>34.463768115942</v>
      </c>
      <c r="P98" s="18" t="n">
        <f aca="false">I98*Assumptions!$B$34*Assumptions!$B$35</f>
        <v>3.31075</v>
      </c>
      <c r="Q98" s="18" t="n">
        <f aca="false">SUM(K98:P98)</f>
        <v>67.9488514492754</v>
      </c>
      <c r="R98" s="18" t="n">
        <f aca="false">J98-Q98</f>
        <v>102.884481884058</v>
      </c>
      <c r="S98" s="28" t="n">
        <f aca="false">IF(J98=0,0,R98/J98)</f>
        <v>0.602250625662778</v>
      </c>
      <c r="T98" s="26" t="n">
        <f aca="false">INDEX($B$13:$B$25,MATCH(E98,$A$13:$A$25,0))</f>
        <v>0.7</v>
      </c>
      <c r="U98" s="18" t="n">
        <f aca="false">SUM(K98:O98)/(1-T98-Assumptions!$B$34*Assumptions!$B$35*(1+H98*$B$5))</f>
        <v>230.340323032127</v>
      </c>
      <c r="V98" s="18" t="n">
        <f aca="false">MROUND(U98*(1+H98*$B$5),$B$6)</f>
        <v>276</v>
      </c>
      <c r="W98" s="26" t="n">
        <f aca="false">IF(I98=0,0,V98/I98-1)</f>
        <v>0.346341463414634</v>
      </c>
      <c r="X98" s="29" t="n">
        <f aca="false">MROUND(V98*3*(1-$B$7),$B$6)</f>
        <v>745</v>
      </c>
      <c r="Y98" s="29" t="n">
        <f aca="false">MROUND(V98*6*(1-$B$8),$B$6)</f>
        <v>1408</v>
      </c>
      <c r="Z98" s="29" t="n">
        <f aca="false">MROUND(V98*10*(1-$B$9),$B$6)</f>
        <v>2208</v>
      </c>
      <c r="AC98" s="25" t="n">
        <f aca="false">IF(OR(D98="ACTIVE",D98="CONSULTATION"),1,0)</f>
        <v>0</v>
      </c>
    </row>
    <row r="99" customFormat="false" ht="15" hidden="false" customHeight="false" outlineLevel="0" collapsed="false">
      <c r="A99" s="6" t="s">
        <v>342</v>
      </c>
      <c r="B99" s="6" t="s">
        <v>346</v>
      </c>
      <c r="C99" s="2" t="s">
        <v>280</v>
      </c>
      <c r="D99" s="30" t="s">
        <v>344</v>
      </c>
      <c r="E99" s="2" t="s">
        <v>162</v>
      </c>
      <c r="F99" s="25" t="n">
        <v>70</v>
      </c>
      <c r="G99" s="25" t="n">
        <v>70</v>
      </c>
      <c r="H99" s="26" t="n">
        <v>0.2</v>
      </c>
      <c r="I99" s="18" t="n">
        <v>237</v>
      </c>
      <c r="J99" s="18" t="n">
        <f aca="false">I99/(1+H99*$B$5)</f>
        <v>197.5</v>
      </c>
      <c r="K99" s="27" t="n">
        <v>7</v>
      </c>
      <c r="L99" s="18" t="n">
        <f aca="false">G99/60*Machinery!$H$6*Assumptions!$B$23/100</f>
        <v>0.252</v>
      </c>
      <c r="M99" s="18" t="n">
        <f aca="false">G99/60*Machinery!$K$6</f>
        <v>9.72222222222222</v>
      </c>
      <c r="N99" s="18" t="n">
        <f aca="false">G99/60*Machinery!$L$6</f>
        <v>18.2291666666667</v>
      </c>
      <c r="O99" s="18" t="n">
        <f aca="false">F99/60*Assumptions!$B$20</f>
        <v>40.207729468599</v>
      </c>
      <c r="P99" s="18" t="n">
        <f aca="false">I99*Assumptions!$B$34*Assumptions!$B$35</f>
        <v>3.82755</v>
      </c>
      <c r="Q99" s="18" t="n">
        <f aca="false">SUM(K99:P99)</f>
        <v>79.2386683574879</v>
      </c>
      <c r="R99" s="18" t="n">
        <f aca="false">J99-Q99</f>
        <v>118.261331642512</v>
      </c>
      <c r="S99" s="28" t="n">
        <f aca="false">IF(J99=0,0,R99/J99)</f>
        <v>0.598791552620314</v>
      </c>
      <c r="T99" s="26" t="n">
        <f aca="false">INDEX($B$13:$B$25,MATCH(E99,$A$13:$A$25,0))</f>
        <v>0.7</v>
      </c>
      <c r="U99" s="18" t="n">
        <f aca="false">SUM(K99:O99)/(1-T99-Assumptions!$B$34*Assumptions!$B$35*(1+H99*$B$5))</f>
        <v>268.730376870814</v>
      </c>
      <c r="V99" s="18" t="n">
        <f aca="false">MROUND(U99*(1+H99*$B$5),$B$6)</f>
        <v>322</v>
      </c>
      <c r="W99" s="26" t="n">
        <f aca="false">IF(I99=0,0,V99/I99-1)</f>
        <v>0.358649789029536</v>
      </c>
      <c r="X99" s="29" t="n">
        <f aca="false">MROUND(V99*3*(1-$B$7),$B$6)</f>
        <v>869</v>
      </c>
      <c r="Y99" s="29" t="n">
        <f aca="false">MROUND(V99*6*(1-$B$8),$B$6)</f>
        <v>1642</v>
      </c>
      <c r="Z99" s="29" t="n">
        <f aca="false">MROUND(V99*10*(1-$B$9),$B$6)</f>
        <v>2576</v>
      </c>
      <c r="AC99" s="25" t="n">
        <f aca="false">IF(OR(D99="ACTIVE",D99="CONSULTATION"),1,0)</f>
        <v>0</v>
      </c>
    </row>
    <row r="100" customFormat="false" ht="15" hidden="false" customHeight="false" outlineLevel="0" collapsed="false">
      <c r="A100" s="6" t="s">
        <v>347</v>
      </c>
      <c r="B100" s="6" t="s">
        <v>348</v>
      </c>
      <c r="C100" s="2" t="s">
        <v>280</v>
      </c>
      <c r="D100" s="30" t="s">
        <v>333</v>
      </c>
      <c r="E100" s="2" t="s">
        <v>162</v>
      </c>
      <c r="F100" s="25" t="n">
        <v>30</v>
      </c>
      <c r="G100" s="25" t="n">
        <v>30</v>
      </c>
      <c r="H100" s="26" t="n">
        <v>0.2</v>
      </c>
      <c r="I100" s="18" t="n">
        <v>79</v>
      </c>
      <c r="J100" s="18" t="n">
        <f aca="false">I100/(1+H100*$B$5)</f>
        <v>65.8333333333333</v>
      </c>
      <c r="K100" s="27" t="n">
        <v>2</v>
      </c>
      <c r="L100" s="18" t="n">
        <f aca="false">G100/60*Machinery!$H$6*Assumptions!$B$23/100</f>
        <v>0.108</v>
      </c>
      <c r="M100" s="18" t="n">
        <f aca="false">G100/60*Machinery!$K$6</f>
        <v>4.16666666666667</v>
      </c>
      <c r="N100" s="18" t="n">
        <f aca="false">G100/60*Machinery!$L$6</f>
        <v>7.8125</v>
      </c>
      <c r="O100" s="18" t="n">
        <f aca="false">F100/60*Assumptions!$B$20</f>
        <v>17.231884057971</v>
      </c>
      <c r="P100" s="18" t="n">
        <f aca="false">I100*Assumptions!$B$34*Assumptions!$B$35</f>
        <v>1.27585</v>
      </c>
      <c r="Q100" s="18" t="n">
        <f aca="false">SUM(K100:P100)</f>
        <v>32.5949007246377</v>
      </c>
      <c r="R100" s="18" t="n">
        <f aca="false">J100-Q100</f>
        <v>33.2384326086957</v>
      </c>
      <c r="S100" s="28" t="n">
        <f aca="false">IF(J100=0,0,R100/J100)</f>
        <v>0.504887583929554</v>
      </c>
      <c r="T100" s="26" t="n">
        <f aca="false">INDEX($B$13:$B$25,MATCH(E100,$A$13:$A$25,0))</f>
        <v>0.7</v>
      </c>
      <c r="U100" s="18" t="n">
        <f aca="false">SUM(K100:O100)/(1-T100-Assumptions!$B$34*Assumptions!$B$35*(1+H100*$B$5))</f>
        <v>111.606623635656</v>
      </c>
      <c r="V100" s="18" t="n">
        <f aca="false">MROUND(U100*(1+H100*$B$5),$B$6)</f>
        <v>134</v>
      </c>
      <c r="W100" s="26" t="n">
        <f aca="false">IF(I100=0,0,V100/I100-1)</f>
        <v>0.69620253164557</v>
      </c>
      <c r="X100" s="29" t="n">
        <f aca="false">MROUND(V100*3*(1-$B$7),$B$6)</f>
        <v>362</v>
      </c>
      <c r="Y100" s="29" t="n">
        <f aca="false">MROUND(V100*6*(1-$B$8),$B$6)</f>
        <v>683</v>
      </c>
      <c r="Z100" s="29" t="n">
        <f aca="false">MROUND(V100*10*(1-$B$9),$B$6)</f>
        <v>1072</v>
      </c>
      <c r="AC100" s="25" t="n">
        <f aca="false">IF(OR(D100="ACTIVE",D100="CONSULTATION"),1,0)</f>
        <v>0</v>
      </c>
    </row>
    <row r="101" customFormat="false" ht="15" hidden="false" customHeight="false" outlineLevel="0" collapsed="false">
      <c r="A101" s="6" t="s">
        <v>347</v>
      </c>
      <c r="B101" s="6" t="s">
        <v>349</v>
      </c>
      <c r="C101" s="2" t="s">
        <v>280</v>
      </c>
      <c r="D101" s="30" t="s">
        <v>333</v>
      </c>
      <c r="E101" s="2" t="s">
        <v>162</v>
      </c>
      <c r="F101" s="25" t="n">
        <v>40</v>
      </c>
      <c r="G101" s="25" t="n">
        <v>40</v>
      </c>
      <c r="H101" s="26" t="n">
        <v>0.2</v>
      </c>
      <c r="I101" s="18" t="n">
        <v>100</v>
      </c>
      <c r="J101" s="18" t="n">
        <f aca="false">I101/(1+H101*$B$5)</f>
        <v>83.3333333333333</v>
      </c>
      <c r="K101" s="27" t="n">
        <v>2</v>
      </c>
      <c r="L101" s="18" t="n">
        <f aca="false">G101/60*Machinery!$H$6*Assumptions!$B$23/100</f>
        <v>0.144</v>
      </c>
      <c r="M101" s="18" t="n">
        <f aca="false">G101/60*Machinery!$K$6</f>
        <v>5.55555555555556</v>
      </c>
      <c r="N101" s="18" t="n">
        <f aca="false">G101/60*Machinery!$L$6</f>
        <v>10.4166666666667</v>
      </c>
      <c r="O101" s="18" t="n">
        <f aca="false">F101/60*Assumptions!$B$20</f>
        <v>22.975845410628</v>
      </c>
      <c r="P101" s="18" t="n">
        <f aca="false">I101*Assumptions!$B$34*Assumptions!$B$35</f>
        <v>1.615</v>
      </c>
      <c r="Q101" s="18" t="n">
        <f aca="false">SUM(K101:P101)</f>
        <v>42.7070676328502</v>
      </c>
      <c r="R101" s="18" t="n">
        <f aca="false">J101-Q101</f>
        <v>40.6262657004831</v>
      </c>
      <c r="S101" s="28" t="n">
        <f aca="false">IF(J101=0,0,R101/J101)</f>
        <v>0.487515188405797</v>
      </c>
      <c r="T101" s="26" t="n">
        <f aca="false">INDEX($B$13:$B$25,MATCH(E101,$A$13:$A$25,0))</f>
        <v>0.7</v>
      </c>
      <c r="U101" s="18" t="n">
        <f aca="false">SUM(K101:O101)/(1-T101-Assumptions!$B$34*Assumptions!$B$35*(1+H101*$B$5))</f>
        <v>146.433139593936</v>
      </c>
      <c r="V101" s="18" t="n">
        <f aca="false">MROUND(U101*(1+H101*$B$5),$B$6)</f>
        <v>176</v>
      </c>
      <c r="W101" s="26" t="n">
        <f aca="false">IF(I101=0,0,V101/I101-1)</f>
        <v>0.76</v>
      </c>
      <c r="X101" s="29" t="n">
        <f aca="false">MROUND(V101*3*(1-$B$7),$B$6)</f>
        <v>475</v>
      </c>
      <c r="Y101" s="29" t="n">
        <f aca="false">MROUND(V101*6*(1-$B$8),$B$6)</f>
        <v>898</v>
      </c>
      <c r="Z101" s="29" t="n">
        <f aca="false">MROUND(V101*10*(1-$B$9),$B$6)</f>
        <v>1408</v>
      </c>
      <c r="AC101" s="25" t="n">
        <f aca="false">IF(OR(D101="ACTIVE",D101="CONSULTATION"),1,0)</f>
        <v>0</v>
      </c>
    </row>
    <row r="102" customFormat="false" ht="15" hidden="false" customHeight="false" outlineLevel="0" collapsed="false">
      <c r="A102" s="6" t="s">
        <v>350</v>
      </c>
      <c r="B102" s="6" t="s">
        <v>351</v>
      </c>
      <c r="C102" s="2" t="s">
        <v>280</v>
      </c>
      <c r="D102" s="30" t="s">
        <v>333</v>
      </c>
      <c r="E102" s="2" t="s">
        <v>167</v>
      </c>
      <c r="F102" s="25" t="n">
        <v>20</v>
      </c>
      <c r="G102" s="25" t="n">
        <v>20</v>
      </c>
      <c r="H102" s="26" t="n">
        <v>0.2</v>
      </c>
      <c r="I102" s="18" t="n">
        <v>44</v>
      </c>
      <c r="J102" s="18" t="n">
        <f aca="false">I102/(1+H102*$B$5)</f>
        <v>36.6666666666667</v>
      </c>
      <c r="K102" s="27" t="n">
        <v>1</v>
      </c>
      <c r="L102" s="18" t="n">
        <f aca="false">G102/60*Machinery!$H$7*Assumptions!$B$23/100</f>
        <v>0.09</v>
      </c>
      <c r="M102" s="18" t="n">
        <f aca="false">G102/60*Machinery!$K$7</f>
        <v>8.33333333333333</v>
      </c>
      <c r="N102" s="18" t="n">
        <f aca="false">G102/60*Machinery!$L$7</f>
        <v>0</v>
      </c>
      <c r="O102" s="18" t="n">
        <f aca="false">F102/60*Assumptions!$B$20</f>
        <v>11.487922705314</v>
      </c>
      <c r="P102" s="18" t="n">
        <f aca="false">I102*Assumptions!$B$34*Assumptions!$B$35</f>
        <v>0.7106</v>
      </c>
      <c r="Q102" s="18" t="n">
        <f aca="false">SUM(K102:P102)</f>
        <v>21.6218560386473</v>
      </c>
      <c r="R102" s="18" t="n">
        <f aca="false">J102-Q102</f>
        <v>15.0448106280193</v>
      </c>
      <c r="S102" s="28" t="n">
        <f aca="false">IF(J102=0,0,R102/J102)</f>
        <v>0.4103130171278</v>
      </c>
      <c r="T102" s="26" t="n">
        <f aca="false">INDEX($B$13:$B$25,MATCH(E102,$A$13:$A$25,0))</f>
        <v>0.7</v>
      </c>
      <c r="U102" s="18" t="n">
        <f aca="false">SUM(K102:O102)/(1-T102-Assumptions!$B$34*Assumptions!$B$35*(1+H102*$B$5))</f>
        <v>74.5180530206234</v>
      </c>
      <c r="V102" s="18" t="n">
        <f aca="false">MROUND(U102*(1+H102*$B$5),$B$6)</f>
        <v>89</v>
      </c>
      <c r="W102" s="26" t="n">
        <f aca="false">IF(I102=0,0,V102/I102-1)</f>
        <v>1.02272727272727</v>
      </c>
      <c r="X102" s="29" t="n">
        <f aca="false">MROUND(V102*3*(1-$B$7),$B$6)</f>
        <v>240</v>
      </c>
      <c r="Y102" s="29" t="n">
        <f aca="false">MROUND(V102*6*(1-$B$8),$B$6)</f>
        <v>454</v>
      </c>
      <c r="Z102" s="29" t="n">
        <f aca="false">MROUND(V102*10*(1-$B$9),$B$6)</f>
        <v>712</v>
      </c>
      <c r="AC102" s="25" t="n">
        <f aca="false">IF(OR(D102="ACTIVE",D102="CONSULTATION"),1,0)</f>
        <v>0</v>
      </c>
    </row>
    <row r="103" customFormat="false" ht="15" hidden="false" customHeight="false" outlineLevel="0" collapsed="false">
      <c r="A103" s="6" t="s">
        <v>350</v>
      </c>
      <c r="B103" s="6" t="s">
        <v>352</v>
      </c>
      <c r="C103" s="2" t="s">
        <v>280</v>
      </c>
      <c r="D103" s="30" t="s">
        <v>333</v>
      </c>
      <c r="E103" s="2" t="s">
        <v>167</v>
      </c>
      <c r="F103" s="25" t="n">
        <v>20</v>
      </c>
      <c r="G103" s="25" t="n">
        <v>20</v>
      </c>
      <c r="H103" s="26" t="n">
        <v>0.2</v>
      </c>
      <c r="I103" s="18" t="n">
        <v>66</v>
      </c>
      <c r="J103" s="18" t="n">
        <f aca="false">I103/(1+H103*$B$5)</f>
        <v>55</v>
      </c>
      <c r="K103" s="27" t="n">
        <v>1</v>
      </c>
      <c r="L103" s="18" t="n">
        <f aca="false">G103/60*Machinery!$H$7*Assumptions!$B$23/100</f>
        <v>0.09</v>
      </c>
      <c r="M103" s="18" t="n">
        <f aca="false">G103/60*Machinery!$K$7</f>
        <v>8.33333333333333</v>
      </c>
      <c r="N103" s="18" t="n">
        <f aca="false">G103/60*Machinery!$L$7</f>
        <v>0</v>
      </c>
      <c r="O103" s="18" t="n">
        <f aca="false">F103/60*Assumptions!$B$20</f>
        <v>11.487922705314</v>
      </c>
      <c r="P103" s="18" t="n">
        <f aca="false">I103*Assumptions!$B$34*Assumptions!$B$35</f>
        <v>1.0659</v>
      </c>
      <c r="Q103" s="18" t="n">
        <f aca="false">SUM(K103:P103)</f>
        <v>21.9771560386473</v>
      </c>
      <c r="R103" s="18" t="n">
        <f aca="false">J103-Q103</f>
        <v>33.0228439613527</v>
      </c>
      <c r="S103" s="28" t="n">
        <f aca="false">IF(J103=0,0,R103/J103)</f>
        <v>0.600415344751867</v>
      </c>
      <c r="T103" s="26" t="n">
        <f aca="false">INDEX($B$13:$B$25,MATCH(E103,$A$13:$A$25,0))</f>
        <v>0.7</v>
      </c>
      <c r="U103" s="18" t="n">
        <f aca="false">SUM(K103:O103)/(1-T103-Assumptions!$B$34*Assumptions!$B$35*(1+H103*$B$5))</f>
        <v>74.5180530206234</v>
      </c>
      <c r="V103" s="18" t="n">
        <f aca="false">MROUND(U103*(1+H103*$B$5),$B$6)</f>
        <v>89</v>
      </c>
      <c r="W103" s="26" t="n">
        <f aca="false">IF(I103=0,0,V103/I103-1)</f>
        <v>0.348484848484848</v>
      </c>
      <c r="X103" s="29" t="n">
        <f aca="false">MROUND(V103*3*(1-$B$7),$B$6)</f>
        <v>240</v>
      </c>
      <c r="Y103" s="29" t="n">
        <f aca="false">MROUND(V103*6*(1-$B$8),$B$6)</f>
        <v>454</v>
      </c>
      <c r="Z103" s="29" t="n">
        <f aca="false">MROUND(V103*10*(1-$B$9),$B$6)</f>
        <v>712</v>
      </c>
      <c r="AC103" s="25" t="n">
        <f aca="false">IF(OR(D103="ACTIVE",D103="CONSULTATION"),1,0)</f>
        <v>0</v>
      </c>
    </row>
    <row r="104" customFormat="false" ht="15" hidden="false" customHeight="false" outlineLevel="0" collapsed="false">
      <c r="A104" s="6" t="s">
        <v>350</v>
      </c>
      <c r="B104" s="6" t="s">
        <v>353</v>
      </c>
      <c r="C104" s="2" t="s">
        <v>280</v>
      </c>
      <c r="D104" s="30" t="s">
        <v>333</v>
      </c>
      <c r="E104" s="2" t="s">
        <v>167</v>
      </c>
      <c r="F104" s="25" t="n">
        <v>25</v>
      </c>
      <c r="G104" s="25" t="n">
        <v>25</v>
      </c>
      <c r="H104" s="26" t="n">
        <v>0.2</v>
      </c>
      <c r="I104" s="18" t="n">
        <v>116</v>
      </c>
      <c r="J104" s="18" t="n">
        <f aca="false">I104/(1+H104*$B$5)</f>
        <v>96.6666666666667</v>
      </c>
      <c r="K104" s="27" t="n">
        <v>1.5</v>
      </c>
      <c r="L104" s="18" t="n">
        <f aca="false">G104/60*Machinery!$H$7*Assumptions!$B$23/100</f>
        <v>0.1125</v>
      </c>
      <c r="M104" s="18" t="n">
        <f aca="false">G104/60*Machinery!$K$7</f>
        <v>10.4166666666667</v>
      </c>
      <c r="N104" s="18" t="n">
        <f aca="false">G104/60*Machinery!$L$7</f>
        <v>0</v>
      </c>
      <c r="O104" s="18" t="n">
        <f aca="false">F104/60*Assumptions!$B$20</f>
        <v>14.3599033816425</v>
      </c>
      <c r="P104" s="18" t="n">
        <f aca="false">I104*Assumptions!$B$34*Assumptions!$B$35</f>
        <v>1.8734</v>
      </c>
      <c r="Q104" s="18" t="n">
        <f aca="false">SUM(K104:P104)</f>
        <v>28.2624700483092</v>
      </c>
      <c r="R104" s="18" t="n">
        <f aca="false">J104-Q104</f>
        <v>68.4041966183575</v>
      </c>
      <c r="S104" s="28" t="n">
        <f aca="false">IF(J104=0,0,R104/J104)</f>
        <v>0.707629620189905</v>
      </c>
      <c r="T104" s="26" t="n">
        <f aca="false">INDEX($B$13:$B$25,MATCH(E104,$A$13:$A$25,0))</f>
        <v>0.7</v>
      </c>
      <c r="U104" s="18" t="n">
        <f aca="false">SUM(K104:O104)/(1-T104-Assumptions!$B$34*Assumptions!$B$35*(1+H104*$B$5))</f>
        <v>94.0384507458812</v>
      </c>
      <c r="V104" s="18" t="n">
        <f aca="false">MROUND(U104*(1+H104*$B$5),$B$6)</f>
        <v>113</v>
      </c>
      <c r="W104" s="26" t="n">
        <f aca="false">IF(I104=0,0,V104/I104-1)</f>
        <v>-0.0258620689655172</v>
      </c>
      <c r="X104" s="29" t="n">
        <f aca="false">MROUND(V104*3*(1-$B$7),$B$6)</f>
        <v>305</v>
      </c>
      <c r="Y104" s="29" t="n">
        <f aca="false">MROUND(V104*6*(1-$B$8),$B$6)</f>
        <v>576</v>
      </c>
      <c r="Z104" s="29" t="n">
        <f aca="false">MROUND(V104*10*(1-$B$9),$B$6)</f>
        <v>904</v>
      </c>
      <c r="AC104" s="25" t="n">
        <f aca="false">IF(OR(D104="ACTIVE",D104="CONSULTATION"),1,0)</f>
        <v>0</v>
      </c>
    </row>
    <row r="105" customFormat="false" ht="15" hidden="false" customHeight="false" outlineLevel="0" collapsed="false">
      <c r="A105" s="6" t="s">
        <v>350</v>
      </c>
      <c r="B105" s="6" t="s">
        <v>354</v>
      </c>
      <c r="C105" s="2" t="s">
        <v>280</v>
      </c>
      <c r="D105" s="30" t="s">
        <v>333</v>
      </c>
      <c r="E105" s="2" t="s">
        <v>167</v>
      </c>
      <c r="F105" s="25" t="n">
        <v>35</v>
      </c>
      <c r="G105" s="25" t="n">
        <v>35</v>
      </c>
      <c r="H105" s="26" t="n">
        <v>0.2</v>
      </c>
      <c r="I105" s="18" t="n">
        <v>165</v>
      </c>
      <c r="J105" s="18" t="n">
        <f aca="false">I105/(1+H105*$B$5)</f>
        <v>137.5</v>
      </c>
      <c r="K105" s="27" t="n">
        <v>2</v>
      </c>
      <c r="L105" s="18" t="n">
        <f aca="false">G105/60*Machinery!$H$7*Assumptions!$B$23/100</f>
        <v>0.1575</v>
      </c>
      <c r="M105" s="18" t="n">
        <f aca="false">G105/60*Machinery!$K$7</f>
        <v>14.5833333333333</v>
      </c>
      <c r="N105" s="18" t="n">
        <f aca="false">G105/60*Machinery!$L$7</f>
        <v>0</v>
      </c>
      <c r="O105" s="18" t="n">
        <f aca="false">F105/60*Assumptions!$B$20</f>
        <v>20.1038647342995</v>
      </c>
      <c r="P105" s="18" t="n">
        <f aca="false">I105*Assumptions!$B$34*Assumptions!$B$35</f>
        <v>2.66475</v>
      </c>
      <c r="Q105" s="18" t="n">
        <f aca="false">SUM(K105:P105)</f>
        <v>39.5094480676329</v>
      </c>
      <c r="R105" s="18" t="n">
        <f aca="false">J105-Q105</f>
        <v>97.9905519323671</v>
      </c>
      <c r="S105" s="28" t="n">
        <f aca="false">IF(J105=0,0,R105/J105)</f>
        <v>0.712658559508125</v>
      </c>
      <c r="T105" s="26" t="n">
        <f aca="false">INDEX($B$13:$B$25,MATCH(E105,$A$13:$A$25,0))</f>
        <v>0.7</v>
      </c>
      <c r="U105" s="18" t="n">
        <f aca="false">SUM(K105:O105)/(1-T105-Assumptions!$B$34*Assumptions!$B$35*(1+H105*$B$5))</f>
        <v>131.297477256193</v>
      </c>
      <c r="V105" s="18" t="n">
        <f aca="false">MROUND(U105*(1+H105*$B$5),$B$6)</f>
        <v>158</v>
      </c>
      <c r="W105" s="26" t="n">
        <f aca="false">IF(I105=0,0,V105/I105-1)</f>
        <v>-0.0424242424242425</v>
      </c>
      <c r="X105" s="29" t="n">
        <f aca="false">MROUND(V105*3*(1-$B$7),$B$6)</f>
        <v>427</v>
      </c>
      <c r="Y105" s="29" t="n">
        <f aca="false">MROUND(V105*6*(1-$B$8),$B$6)</f>
        <v>806</v>
      </c>
      <c r="Z105" s="29" t="n">
        <f aca="false">MROUND(V105*10*(1-$B$9),$B$6)</f>
        <v>1264</v>
      </c>
      <c r="AC105" s="25" t="n">
        <f aca="false">IF(OR(D105="ACTIVE",D105="CONSULTATION"),1,0)</f>
        <v>0</v>
      </c>
    </row>
    <row r="106" customFormat="false" ht="15" hidden="false" customHeight="false" outlineLevel="0" collapsed="false">
      <c r="A106" s="6" t="s">
        <v>350</v>
      </c>
      <c r="B106" s="6" t="s">
        <v>355</v>
      </c>
      <c r="C106" s="2" t="s">
        <v>280</v>
      </c>
      <c r="D106" s="30" t="s">
        <v>333</v>
      </c>
      <c r="E106" s="2" t="s">
        <v>167</v>
      </c>
      <c r="F106" s="25" t="n">
        <v>45</v>
      </c>
      <c r="G106" s="25" t="n">
        <v>45</v>
      </c>
      <c r="H106" s="26" t="n">
        <v>0.2</v>
      </c>
      <c r="I106" s="18" t="n">
        <v>237</v>
      </c>
      <c r="J106" s="18" t="n">
        <f aca="false">I106/(1+H106*$B$5)</f>
        <v>197.5</v>
      </c>
      <c r="K106" s="27" t="n">
        <v>2.5</v>
      </c>
      <c r="L106" s="18" t="n">
        <f aca="false">G106/60*Machinery!$H$7*Assumptions!$B$23/100</f>
        <v>0.2025</v>
      </c>
      <c r="M106" s="18" t="n">
        <f aca="false">G106/60*Machinery!$K$7</f>
        <v>18.75</v>
      </c>
      <c r="N106" s="18" t="n">
        <f aca="false">G106/60*Machinery!$L$7</f>
        <v>0</v>
      </c>
      <c r="O106" s="18" t="n">
        <f aca="false">F106/60*Assumptions!$B$20</f>
        <v>25.8478260869565</v>
      </c>
      <c r="P106" s="18" t="n">
        <f aca="false">I106*Assumptions!$B$34*Assumptions!$B$35</f>
        <v>3.82755</v>
      </c>
      <c r="Q106" s="18" t="n">
        <f aca="false">SUM(K106:P106)</f>
        <v>51.1278760869565</v>
      </c>
      <c r="R106" s="18" t="n">
        <f aca="false">J106-Q106</f>
        <v>146.372123913043</v>
      </c>
      <c r="S106" s="28" t="n">
        <f aca="false">IF(J106=0,0,R106/J106)</f>
        <v>0.741124678040727</v>
      </c>
      <c r="T106" s="26" t="n">
        <f aca="false">INDEX($B$13:$B$25,MATCH(E106,$A$13:$A$25,0))</f>
        <v>0.7</v>
      </c>
      <c r="U106" s="18" t="n">
        <f aca="false">SUM(K106:O106)/(1-T106-Assumptions!$B$34*Assumptions!$B$35*(1+H106*$B$5))</f>
        <v>168.556503766505</v>
      </c>
      <c r="V106" s="18" t="n">
        <f aca="false">MROUND(U106*(1+H106*$B$5),$B$6)</f>
        <v>202</v>
      </c>
      <c r="W106" s="26" t="n">
        <f aca="false">IF(I106=0,0,V106/I106-1)</f>
        <v>-0.147679324894515</v>
      </c>
      <c r="X106" s="29" t="n">
        <f aca="false">MROUND(V106*3*(1-$B$7),$B$6)</f>
        <v>545</v>
      </c>
      <c r="Y106" s="29" t="n">
        <f aca="false">MROUND(V106*6*(1-$B$8),$B$6)</f>
        <v>1030</v>
      </c>
      <c r="Z106" s="29" t="n">
        <f aca="false">MROUND(V106*10*(1-$B$9),$B$6)</f>
        <v>1616</v>
      </c>
      <c r="AC106" s="25" t="n">
        <f aca="false">IF(OR(D106="ACTIVE",D106="CONSULTATION"),1,0)</f>
        <v>0</v>
      </c>
    </row>
    <row r="107" customFormat="false" ht="15" hidden="false" customHeight="false" outlineLevel="0" collapsed="false">
      <c r="A107" s="6" t="s">
        <v>356</v>
      </c>
      <c r="B107" s="6" t="s">
        <v>357</v>
      </c>
      <c r="C107" s="2" t="s">
        <v>280</v>
      </c>
      <c r="D107" s="30" t="s">
        <v>333</v>
      </c>
      <c r="E107" s="2" t="s">
        <v>167</v>
      </c>
      <c r="F107" s="25" t="n">
        <v>30</v>
      </c>
      <c r="G107" s="25" t="n">
        <v>30</v>
      </c>
      <c r="H107" s="26" t="n">
        <v>0.2</v>
      </c>
      <c r="I107" s="18" t="n">
        <v>275</v>
      </c>
      <c r="J107" s="18" t="n">
        <f aca="false">I107/(1+H107*$B$5)</f>
        <v>229.166666666667</v>
      </c>
      <c r="K107" s="27" t="n">
        <v>1</v>
      </c>
      <c r="L107" s="18" t="n">
        <f aca="false">G107/60*Machinery!$H$7*Assumptions!$B$23/100</f>
        <v>0.135</v>
      </c>
      <c r="M107" s="18" t="n">
        <f aca="false">G107/60*Machinery!$K$7</f>
        <v>12.5</v>
      </c>
      <c r="N107" s="18" t="n">
        <f aca="false">G107/60*Machinery!$L$7</f>
        <v>0</v>
      </c>
      <c r="O107" s="18" t="n">
        <f aca="false">F107/60*Assumptions!$B$20</f>
        <v>17.231884057971</v>
      </c>
      <c r="P107" s="18" t="n">
        <f aca="false">I107*Assumptions!$B$34*Assumptions!$B$35</f>
        <v>4.44125</v>
      </c>
      <c r="Q107" s="18" t="n">
        <f aca="false">SUM(K107:P107)</f>
        <v>35.308134057971</v>
      </c>
      <c r="R107" s="18" t="n">
        <f aca="false">J107-Q107</f>
        <v>193.858532608696</v>
      </c>
      <c r="S107" s="28" t="n">
        <f aca="false">IF(J107=0,0,R107/J107)</f>
        <v>0.84592814229249</v>
      </c>
      <c r="T107" s="26" t="n">
        <f aca="false">INDEX($B$13:$B$25,MATCH(E107,$A$13:$A$25,0))</f>
        <v>0.7</v>
      </c>
      <c r="U107" s="18" t="n">
        <f aca="false">SUM(K107:O107)/(1-T107-Assumptions!$B$34*Assumptions!$B$35*(1+H107*$B$5))</f>
        <v>109.995310590731</v>
      </c>
      <c r="V107" s="18" t="n">
        <f aca="false">MROUND(U107*(1+H107*$B$5),$B$6)</f>
        <v>132</v>
      </c>
      <c r="W107" s="26" t="n">
        <f aca="false">IF(I107=0,0,V107/I107-1)</f>
        <v>-0.52</v>
      </c>
      <c r="X107" s="29" t="n">
        <f aca="false">MROUND(V107*3*(1-$B$7),$B$6)</f>
        <v>356</v>
      </c>
      <c r="Y107" s="29" t="n">
        <f aca="false">MROUND(V107*6*(1-$B$8),$B$6)</f>
        <v>673</v>
      </c>
      <c r="Z107" s="29" t="n">
        <f aca="false">MROUND(V107*10*(1-$B$9),$B$6)</f>
        <v>1056</v>
      </c>
      <c r="AC107" s="25" t="n">
        <f aca="false">IF(OR(D107="ACTIVE",D107="CONSULTATION"),1,0)</f>
        <v>0</v>
      </c>
    </row>
    <row r="108" customFormat="false" ht="15" hidden="false" customHeight="false" outlineLevel="0" collapsed="false">
      <c r="A108" s="6" t="s">
        <v>358</v>
      </c>
      <c r="B108" s="6" t="s">
        <v>359</v>
      </c>
      <c r="C108" s="2" t="s">
        <v>280</v>
      </c>
      <c r="D108" s="2" t="s">
        <v>320</v>
      </c>
      <c r="E108" s="2" t="s">
        <v>187</v>
      </c>
      <c r="F108" s="25" t="n">
        <v>45</v>
      </c>
      <c r="G108" s="25" t="n">
        <v>45</v>
      </c>
      <c r="H108" s="26" t="n">
        <v>0.2</v>
      </c>
      <c r="I108" s="18" t="n">
        <v>95</v>
      </c>
      <c r="J108" s="18" t="n">
        <f aca="false">I108/(1+H108*$B$5)</f>
        <v>79.1666666666667</v>
      </c>
      <c r="K108" s="27" t="n">
        <v>15</v>
      </c>
      <c r="L108" s="18" t="n">
        <f aca="false">G108/60*Machinery!$H$11*Assumptions!$B$23/100</f>
        <v>0.0405</v>
      </c>
      <c r="M108" s="18" t="n">
        <f aca="false">G108/60*Machinery!$K$11</f>
        <v>1.5625</v>
      </c>
      <c r="N108" s="18" t="n">
        <f aca="false">G108/60*Machinery!$L$11</f>
        <v>4.34027777777778</v>
      </c>
      <c r="O108" s="18" t="n">
        <f aca="false">F108/60*Assumptions!$B$20</f>
        <v>25.8478260869565</v>
      </c>
      <c r="P108" s="18" t="n">
        <f aca="false">I108*Assumptions!$B$34*Assumptions!$B$35</f>
        <v>1.53425</v>
      </c>
      <c r="Q108" s="18" t="n">
        <f aca="false">SUM(K108:P108)</f>
        <v>48.3253538647343</v>
      </c>
      <c r="R108" s="18" t="n">
        <f aca="false">J108-Q108</f>
        <v>30.8413128019324</v>
      </c>
      <c r="S108" s="28" t="n">
        <f aca="false">IF(J108=0,0,R108/J108)</f>
        <v>0.389574477498093</v>
      </c>
      <c r="T108" s="26" t="n">
        <f aca="false">INDEX($B$13:$B$25,MATCH(E108,$A$13:$A$25,0))</f>
        <v>0.65</v>
      </c>
      <c r="U108" s="18" t="n">
        <f aca="false">SUM(K108:O108)/(1-T108-Assumptions!$B$34*Assumptions!$B$35*(1+H108*$B$5))</f>
        <v>141.525327762187</v>
      </c>
      <c r="V108" s="18" t="n">
        <f aca="false">MROUND(U108*(1+H108*$B$5),$B$6)</f>
        <v>170</v>
      </c>
      <c r="W108" s="26" t="n">
        <f aca="false">IF(I108=0,0,V108/I108-1)</f>
        <v>0.789473684210526</v>
      </c>
      <c r="X108" s="29" t="n">
        <f aca="false">MROUND(V108*3*(1-$B$7),$B$6)</f>
        <v>459</v>
      </c>
      <c r="Y108" s="29" t="n">
        <f aca="false">MROUND(V108*6*(1-$B$8),$B$6)</f>
        <v>867</v>
      </c>
      <c r="Z108" s="29" t="n">
        <f aca="false">MROUND(V108*10*(1-$B$9),$B$6)</f>
        <v>1360</v>
      </c>
      <c r="AC108" s="25" t="n">
        <f aca="false">IF(OR(D108="ACTIVE",D108="CONSULTATION"),1,0)</f>
        <v>1</v>
      </c>
    </row>
    <row r="109" customFormat="false" ht="15" hidden="false" customHeight="false" outlineLevel="0" collapsed="false">
      <c r="A109" s="6" t="s">
        <v>358</v>
      </c>
      <c r="B109" s="6" t="s">
        <v>360</v>
      </c>
      <c r="C109" s="2" t="s">
        <v>280</v>
      </c>
      <c r="D109" s="2" t="s">
        <v>320</v>
      </c>
      <c r="E109" s="2" t="s">
        <v>187</v>
      </c>
      <c r="F109" s="25" t="n">
        <v>60</v>
      </c>
      <c r="G109" s="25" t="n">
        <v>60</v>
      </c>
      <c r="H109" s="26" t="n">
        <v>0.2</v>
      </c>
      <c r="I109" s="18" t="n">
        <v>145</v>
      </c>
      <c r="J109" s="18" t="n">
        <f aca="false">I109/(1+H109*$B$5)</f>
        <v>120.833333333333</v>
      </c>
      <c r="K109" s="27" t="n">
        <v>20</v>
      </c>
      <c r="L109" s="18" t="n">
        <f aca="false">G109/60*Machinery!$H$11*Assumptions!$B$23/100</f>
        <v>0.054</v>
      </c>
      <c r="M109" s="18" t="n">
        <f aca="false">G109/60*Machinery!$K$11</f>
        <v>2.08333333333333</v>
      </c>
      <c r="N109" s="18" t="n">
        <f aca="false">G109/60*Machinery!$L$11</f>
        <v>5.78703703703704</v>
      </c>
      <c r="O109" s="18" t="n">
        <f aca="false">F109/60*Assumptions!$B$20</f>
        <v>34.463768115942</v>
      </c>
      <c r="P109" s="18" t="n">
        <f aca="false">I109*Assumptions!$B$34*Assumptions!$B$35</f>
        <v>2.34175</v>
      </c>
      <c r="Q109" s="18" t="n">
        <f aca="false">SUM(K109:P109)</f>
        <v>64.7298884863124</v>
      </c>
      <c r="R109" s="18" t="n">
        <f aca="false">J109-Q109</f>
        <v>56.1034448470209</v>
      </c>
      <c r="S109" s="28" t="n">
        <f aca="false">IF(J109=0,0,R109/J109)</f>
        <v>0.464304371147759</v>
      </c>
      <c r="T109" s="26" t="n">
        <f aca="false">INDEX($B$13:$B$25,MATCH(E109,$A$13:$A$25,0))</f>
        <v>0.65</v>
      </c>
      <c r="U109" s="18" t="n">
        <f aca="false">SUM(K109:O109)/(1-T109-Assumptions!$B$34*Assumptions!$B$35*(1+H109*$B$5))</f>
        <v>188.700437016249</v>
      </c>
      <c r="V109" s="18" t="n">
        <f aca="false">MROUND(U109*(1+H109*$B$5),$B$6)</f>
        <v>226</v>
      </c>
      <c r="W109" s="26" t="n">
        <f aca="false">IF(I109=0,0,V109/I109-1)</f>
        <v>0.558620689655172</v>
      </c>
      <c r="X109" s="29" t="n">
        <f aca="false">MROUND(V109*3*(1-$B$7),$B$6)</f>
        <v>610</v>
      </c>
      <c r="Y109" s="29" t="n">
        <f aca="false">MROUND(V109*6*(1-$B$8),$B$6)</f>
        <v>1153</v>
      </c>
      <c r="Z109" s="29" t="n">
        <f aca="false">MROUND(V109*10*(1-$B$9),$B$6)</f>
        <v>1808</v>
      </c>
      <c r="AC109" s="25" t="n">
        <f aca="false">IF(OR(D109="ACTIVE",D109="CONSULTATION"),1,0)</f>
        <v>1</v>
      </c>
    </row>
    <row r="110" customFormat="false" ht="15" hidden="false" customHeight="false" outlineLevel="0" collapsed="false">
      <c r="A110" s="6" t="s">
        <v>358</v>
      </c>
      <c r="B110" s="6" t="s">
        <v>361</v>
      </c>
      <c r="C110" s="2" t="s">
        <v>280</v>
      </c>
      <c r="D110" s="2" t="s">
        <v>320</v>
      </c>
      <c r="E110" s="2" t="s">
        <v>187</v>
      </c>
      <c r="F110" s="25" t="n">
        <v>70</v>
      </c>
      <c r="G110" s="25" t="n">
        <v>70</v>
      </c>
      <c r="H110" s="26" t="n">
        <v>0.2</v>
      </c>
      <c r="I110" s="18" t="n">
        <v>185</v>
      </c>
      <c r="J110" s="18" t="n">
        <f aca="false">I110/(1+H110*$B$5)</f>
        <v>154.166666666667</v>
      </c>
      <c r="K110" s="27" t="n">
        <v>25</v>
      </c>
      <c r="L110" s="18" t="n">
        <f aca="false">G110/60*Machinery!$H$11*Assumptions!$B$23/100</f>
        <v>0.063</v>
      </c>
      <c r="M110" s="18" t="n">
        <f aca="false">G110/60*Machinery!$K$11</f>
        <v>2.43055555555556</v>
      </c>
      <c r="N110" s="18" t="n">
        <f aca="false">G110/60*Machinery!$L$11</f>
        <v>6.75154320987654</v>
      </c>
      <c r="O110" s="18" t="n">
        <f aca="false">F110/60*Assumptions!$B$20</f>
        <v>40.207729468599</v>
      </c>
      <c r="P110" s="18" t="n">
        <f aca="false">I110*Assumptions!$B$34*Assumptions!$B$35</f>
        <v>2.98775</v>
      </c>
      <c r="Q110" s="18" t="n">
        <f aca="false">SUM(K110:P110)</f>
        <v>77.4405782340312</v>
      </c>
      <c r="R110" s="18" t="n">
        <f aca="false">J110-Q110</f>
        <v>76.7260884326355</v>
      </c>
      <c r="S110" s="28" t="n">
        <f aca="false">IF(J110=0,0,R110/J110)</f>
        <v>0.497682735779258</v>
      </c>
      <c r="T110" s="26" t="n">
        <f aca="false">INDEX($B$13:$B$25,MATCH(E110,$A$13:$A$25,0))</f>
        <v>0.65</v>
      </c>
      <c r="U110" s="18" t="n">
        <f aca="false">SUM(K110:O110)/(1-T110-Assumptions!$B$34*Assumptions!$B$35*(1+H110*$B$5))</f>
        <v>225.191543869189</v>
      </c>
      <c r="V110" s="18" t="n">
        <f aca="false">MROUND(U110*(1+H110*$B$5),$B$6)</f>
        <v>270</v>
      </c>
      <c r="W110" s="26" t="n">
        <f aca="false">IF(I110=0,0,V110/I110-1)</f>
        <v>0.459459459459459</v>
      </c>
      <c r="X110" s="29" t="n">
        <f aca="false">MROUND(V110*3*(1-$B$7),$B$6)</f>
        <v>729</v>
      </c>
      <c r="Y110" s="29" t="n">
        <f aca="false">MROUND(V110*6*(1-$B$8),$B$6)</f>
        <v>1377</v>
      </c>
      <c r="Z110" s="29" t="n">
        <f aca="false">MROUND(V110*10*(1-$B$9),$B$6)</f>
        <v>2160</v>
      </c>
      <c r="AC110" s="25" t="n">
        <f aca="false">IF(OR(D110="ACTIVE",D110="CONSULTATION"),1,0)</f>
        <v>1</v>
      </c>
    </row>
    <row r="111" customFormat="false" ht="15" hidden="false" customHeight="false" outlineLevel="0" collapsed="false">
      <c r="A111" s="6" t="s">
        <v>358</v>
      </c>
      <c r="B111" s="6" t="s">
        <v>362</v>
      </c>
      <c r="C111" s="2" t="s">
        <v>280</v>
      </c>
      <c r="D111" s="2" t="s">
        <v>320</v>
      </c>
      <c r="E111" s="2" t="s">
        <v>187</v>
      </c>
      <c r="F111" s="25" t="n">
        <v>70</v>
      </c>
      <c r="G111" s="25" t="n">
        <v>70</v>
      </c>
      <c r="H111" s="26" t="n">
        <v>0.2</v>
      </c>
      <c r="I111" s="18" t="n">
        <v>185</v>
      </c>
      <c r="J111" s="18" t="n">
        <f aca="false">I111/(1+H111*$B$5)</f>
        <v>154.166666666667</v>
      </c>
      <c r="K111" s="27" t="n">
        <v>25</v>
      </c>
      <c r="L111" s="18" t="n">
        <f aca="false">G111/60*Machinery!$H$11*Assumptions!$B$23/100</f>
        <v>0.063</v>
      </c>
      <c r="M111" s="18" t="n">
        <f aca="false">G111/60*Machinery!$K$11</f>
        <v>2.43055555555556</v>
      </c>
      <c r="N111" s="18" t="n">
        <f aca="false">G111/60*Machinery!$L$11</f>
        <v>6.75154320987654</v>
      </c>
      <c r="O111" s="18" t="n">
        <f aca="false">F111/60*Assumptions!$B$20</f>
        <v>40.207729468599</v>
      </c>
      <c r="P111" s="18" t="n">
        <f aca="false">I111*Assumptions!$B$34*Assumptions!$B$35</f>
        <v>2.98775</v>
      </c>
      <c r="Q111" s="18" t="n">
        <f aca="false">SUM(K111:P111)</f>
        <v>77.4405782340312</v>
      </c>
      <c r="R111" s="18" t="n">
        <f aca="false">J111-Q111</f>
        <v>76.7260884326355</v>
      </c>
      <c r="S111" s="28" t="n">
        <f aca="false">IF(J111=0,0,R111/J111)</f>
        <v>0.497682735779258</v>
      </c>
      <c r="T111" s="26" t="n">
        <f aca="false">INDEX($B$13:$B$25,MATCH(E111,$A$13:$A$25,0))</f>
        <v>0.65</v>
      </c>
      <c r="U111" s="18" t="n">
        <f aca="false">SUM(K111:O111)/(1-T111-Assumptions!$B$34*Assumptions!$B$35*(1+H111*$B$5))</f>
        <v>225.191543869189</v>
      </c>
      <c r="V111" s="18" t="n">
        <f aca="false">MROUND(U111*(1+H111*$B$5),$B$6)</f>
        <v>270</v>
      </c>
      <c r="W111" s="26" t="n">
        <f aca="false">IF(I111=0,0,V111/I111-1)</f>
        <v>0.459459459459459</v>
      </c>
      <c r="X111" s="29" t="n">
        <f aca="false">MROUND(V111*3*(1-$B$7),$B$6)</f>
        <v>729</v>
      </c>
      <c r="Y111" s="29" t="n">
        <f aca="false">MROUND(V111*6*(1-$B$8),$B$6)</f>
        <v>1377</v>
      </c>
      <c r="Z111" s="29" t="n">
        <f aca="false">MROUND(V111*10*(1-$B$9),$B$6)</f>
        <v>2160</v>
      </c>
      <c r="AC111" s="25" t="n">
        <f aca="false">IF(OR(D111="ACTIVE",D111="CONSULTATION"),1,0)</f>
        <v>1</v>
      </c>
    </row>
    <row r="112" customFormat="false" ht="15" hidden="false" customHeight="false" outlineLevel="0" collapsed="false">
      <c r="A112" s="6" t="s">
        <v>358</v>
      </c>
      <c r="B112" s="6" t="s">
        <v>363</v>
      </c>
      <c r="C112" s="2" t="s">
        <v>280</v>
      </c>
      <c r="D112" s="2" t="s">
        <v>320</v>
      </c>
      <c r="E112" s="2" t="s">
        <v>187</v>
      </c>
      <c r="F112" s="25" t="n">
        <v>70</v>
      </c>
      <c r="G112" s="25" t="n">
        <v>70</v>
      </c>
      <c r="H112" s="26" t="n">
        <v>0.2</v>
      </c>
      <c r="I112" s="18" t="n">
        <v>185</v>
      </c>
      <c r="J112" s="18" t="n">
        <f aca="false">I112/(1+H112*$B$5)</f>
        <v>154.166666666667</v>
      </c>
      <c r="K112" s="27" t="n">
        <v>25</v>
      </c>
      <c r="L112" s="18" t="n">
        <f aca="false">G112/60*Machinery!$H$11*Assumptions!$B$23/100</f>
        <v>0.063</v>
      </c>
      <c r="M112" s="18" t="n">
        <f aca="false">G112/60*Machinery!$K$11</f>
        <v>2.43055555555556</v>
      </c>
      <c r="N112" s="18" t="n">
        <f aca="false">G112/60*Machinery!$L$11</f>
        <v>6.75154320987654</v>
      </c>
      <c r="O112" s="18" t="n">
        <f aca="false">F112/60*Assumptions!$B$20</f>
        <v>40.207729468599</v>
      </c>
      <c r="P112" s="18" t="n">
        <f aca="false">I112*Assumptions!$B$34*Assumptions!$B$35</f>
        <v>2.98775</v>
      </c>
      <c r="Q112" s="18" t="n">
        <f aca="false">SUM(K112:P112)</f>
        <v>77.4405782340312</v>
      </c>
      <c r="R112" s="18" t="n">
        <f aca="false">J112-Q112</f>
        <v>76.7260884326355</v>
      </c>
      <c r="S112" s="28" t="n">
        <f aca="false">IF(J112=0,0,R112/J112)</f>
        <v>0.497682735779258</v>
      </c>
      <c r="T112" s="26" t="n">
        <f aca="false">INDEX($B$13:$B$25,MATCH(E112,$A$13:$A$25,0))</f>
        <v>0.65</v>
      </c>
      <c r="U112" s="18" t="n">
        <f aca="false">SUM(K112:O112)/(1-T112-Assumptions!$B$34*Assumptions!$B$35*(1+H112*$B$5))</f>
        <v>225.191543869189</v>
      </c>
      <c r="V112" s="18" t="n">
        <f aca="false">MROUND(U112*(1+H112*$B$5),$B$6)</f>
        <v>270</v>
      </c>
      <c r="W112" s="26" t="n">
        <f aca="false">IF(I112=0,0,V112/I112-1)</f>
        <v>0.459459459459459</v>
      </c>
      <c r="X112" s="29" t="n">
        <f aca="false">MROUND(V112*3*(1-$B$7),$B$6)</f>
        <v>729</v>
      </c>
      <c r="Y112" s="29" t="n">
        <f aca="false">MROUND(V112*6*(1-$B$8),$B$6)</f>
        <v>1377</v>
      </c>
      <c r="Z112" s="29" t="n">
        <f aca="false">MROUND(V112*10*(1-$B$9),$B$6)</f>
        <v>2160</v>
      </c>
      <c r="AC112" s="25" t="n">
        <f aca="false">IF(OR(D112="ACTIVE",D112="CONSULTATION"),1,0)</f>
        <v>1</v>
      </c>
    </row>
    <row r="113" customFormat="false" ht="15" hidden="false" customHeight="false" outlineLevel="0" collapsed="false">
      <c r="A113" s="6" t="s">
        <v>358</v>
      </c>
      <c r="B113" s="6" t="s">
        <v>364</v>
      </c>
      <c r="C113" s="2" t="s">
        <v>280</v>
      </c>
      <c r="D113" s="2" t="s">
        <v>320</v>
      </c>
      <c r="E113" s="2" t="s">
        <v>187</v>
      </c>
      <c r="F113" s="25" t="n">
        <v>70</v>
      </c>
      <c r="G113" s="25" t="n">
        <v>70</v>
      </c>
      <c r="H113" s="26" t="n">
        <v>0.2</v>
      </c>
      <c r="I113" s="18" t="n">
        <v>185</v>
      </c>
      <c r="J113" s="18" t="n">
        <f aca="false">I113/(1+H113*$B$5)</f>
        <v>154.166666666667</v>
      </c>
      <c r="K113" s="27" t="n">
        <v>25</v>
      </c>
      <c r="L113" s="18" t="n">
        <f aca="false">G113/60*Machinery!$H$11*Assumptions!$B$23/100</f>
        <v>0.063</v>
      </c>
      <c r="M113" s="18" t="n">
        <f aca="false">G113/60*Machinery!$K$11</f>
        <v>2.43055555555556</v>
      </c>
      <c r="N113" s="18" t="n">
        <f aca="false">G113/60*Machinery!$L$11</f>
        <v>6.75154320987654</v>
      </c>
      <c r="O113" s="18" t="n">
        <f aca="false">F113/60*Assumptions!$B$20</f>
        <v>40.207729468599</v>
      </c>
      <c r="P113" s="18" t="n">
        <f aca="false">I113*Assumptions!$B$34*Assumptions!$B$35</f>
        <v>2.98775</v>
      </c>
      <c r="Q113" s="18" t="n">
        <f aca="false">SUM(K113:P113)</f>
        <v>77.4405782340312</v>
      </c>
      <c r="R113" s="18" t="n">
        <f aca="false">J113-Q113</f>
        <v>76.7260884326355</v>
      </c>
      <c r="S113" s="28" t="n">
        <f aca="false">IF(J113=0,0,R113/J113)</f>
        <v>0.497682735779258</v>
      </c>
      <c r="T113" s="26" t="n">
        <f aca="false">INDEX($B$13:$B$25,MATCH(E113,$A$13:$A$25,0))</f>
        <v>0.65</v>
      </c>
      <c r="U113" s="18" t="n">
        <f aca="false">SUM(K113:O113)/(1-T113-Assumptions!$B$34*Assumptions!$B$35*(1+H113*$B$5))</f>
        <v>225.191543869189</v>
      </c>
      <c r="V113" s="18" t="n">
        <f aca="false">MROUND(U113*(1+H113*$B$5),$B$6)</f>
        <v>270</v>
      </c>
      <c r="W113" s="26" t="n">
        <f aca="false">IF(I113=0,0,V113/I113-1)</f>
        <v>0.459459459459459</v>
      </c>
      <c r="X113" s="29" t="n">
        <f aca="false">MROUND(V113*3*(1-$B$7),$B$6)</f>
        <v>729</v>
      </c>
      <c r="Y113" s="29" t="n">
        <f aca="false">MROUND(V113*6*(1-$B$8),$B$6)</f>
        <v>1377</v>
      </c>
      <c r="Z113" s="29" t="n">
        <f aca="false">MROUND(V113*10*(1-$B$9),$B$6)</f>
        <v>2160</v>
      </c>
      <c r="AC113" s="25" t="n">
        <f aca="false">IF(OR(D113="ACTIVE",D113="CONSULTATION"),1,0)</f>
        <v>1</v>
      </c>
    </row>
    <row r="114" customFormat="false" ht="15" hidden="false" customHeight="false" outlineLevel="0" collapsed="false">
      <c r="A114" s="6" t="s">
        <v>358</v>
      </c>
      <c r="B114" s="6" t="s">
        <v>365</v>
      </c>
      <c r="C114" s="2" t="s">
        <v>280</v>
      </c>
      <c r="D114" s="2" t="s">
        <v>320</v>
      </c>
      <c r="E114" s="2" t="s">
        <v>187</v>
      </c>
      <c r="F114" s="25" t="n">
        <v>70</v>
      </c>
      <c r="G114" s="25" t="n">
        <v>70</v>
      </c>
      <c r="H114" s="26" t="n">
        <v>0.2</v>
      </c>
      <c r="I114" s="18" t="n">
        <v>185</v>
      </c>
      <c r="J114" s="18" t="n">
        <f aca="false">I114/(1+H114*$B$5)</f>
        <v>154.166666666667</v>
      </c>
      <c r="K114" s="27" t="n">
        <v>25</v>
      </c>
      <c r="L114" s="18" t="n">
        <f aca="false">G114/60*Machinery!$H$11*Assumptions!$B$23/100</f>
        <v>0.063</v>
      </c>
      <c r="M114" s="18" t="n">
        <f aca="false">G114/60*Machinery!$K$11</f>
        <v>2.43055555555556</v>
      </c>
      <c r="N114" s="18" t="n">
        <f aca="false">G114/60*Machinery!$L$11</f>
        <v>6.75154320987654</v>
      </c>
      <c r="O114" s="18" t="n">
        <f aca="false">F114/60*Assumptions!$B$20</f>
        <v>40.207729468599</v>
      </c>
      <c r="P114" s="18" t="n">
        <f aca="false">I114*Assumptions!$B$34*Assumptions!$B$35</f>
        <v>2.98775</v>
      </c>
      <c r="Q114" s="18" t="n">
        <f aca="false">SUM(K114:P114)</f>
        <v>77.4405782340312</v>
      </c>
      <c r="R114" s="18" t="n">
        <f aca="false">J114-Q114</f>
        <v>76.7260884326355</v>
      </c>
      <c r="S114" s="28" t="n">
        <f aca="false">IF(J114=0,0,R114/J114)</f>
        <v>0.497682735779258</v>
      </c>
      <c r="T114" s="26" t="n">
        <f aca="false">INDEX($B$13:$B$25,MATCH(E114,$A$13:$A$25,0))</f>
        <v>0.65</v>
      </c>
      <c r="U114" s="18" t="n">
        <f aca="false">SUM(K114:O114)/(1-T114-Assumptions!$B$34*Assumptions!$B$35*(1+H114*$B$5))</f>
        <v>225.191543869189</v>
      </c>
      <c r="V114" s="18" t="n">
        <f aca="false">MROUND(U114*(1+H114*$B$5),$B$6)</f>
        <v>270</v>
      </c>
      <c r="W114" s="26" t="n">
        <f aca="false">IF(I114=0,0,V114/I114-1)</f>
        <v>0.459459459459459</v>
      </c>
      <c r="X114" s="29" t="n">
        <f aca="false">MROUND(V114*3*(1-$B$7),$B$6)</f>
        <v>729</v>
      </c>
      <c r="Y114" s="29" t="n">
        <f aca="false">MROUND(V114*6*(1-$B$8),$B$6)</f>
        <v>1377</v>
      </c>
      <c r="Z114" s="29" t="n">
        <f aca="false">MROUND(V114*10*(1-$B$9),$B$6)</f>
        <v>2160</v>
      </c>
      <c r="AC114" s="25" t="n">
        <f aca="false">IF(OR(D114="ACTIVE",D114="CONSULTATION"),1,0)</f>
        <v>1</v>
      </c>
    </row>
    <row r="115" customFormat="false" ht="15" hidden="false" customHeight="false" outlineLevel="0" collapsed="false">
      <c r="A115" s="6" t="s">
        <v>366</v>
      </c>
      <c r="B115" s="6" t="s">
        <v>367</v>
      </c>
      <c r="C115" s="2" t="s">
        <v>280</v>
      </c>
      <c r="D115" s="2" t="s">
        <v>320</v>
      </c>
      <c r="E115" s="2" t="s">
        <v>177</v>
      </c>
      <c r="F115" s="25" t="n">
        <v>30</v>
      </c>
      <c r="G115" s="25" t="n">
        <v>30</v>
      </c>
      <c r="H115" s="26" t="n">
        <v>0.2</v>
      </c>
      <c r="I115" s="18" t="n">
        <v>349</v>
      </c>
      <c r="J115" s="18" t="n">
        <f aca="false">I115/(1+H115*$B$5)</f>
        <v>290.833333333333</v>
      </c>
      <c r="K115" s="27" t="n">
        <v>40</v>
      </c>
      <c r="L115" s="18" t="n">
        <f aca="false">G115/60*Machinery!$H$9*Assumptions!$B$23/100</f>
        <v>0.0405</v>
      </c>
      <c r="M115" s="18" t="n">
        <f aca="false">G115/60*Machinery!$K$9</f>
        <v>3.75</v>
      </c>
      <c r="N115" s="18" t="n">
        <f aca="false">G115/60*Machinery!$L$9</f>
        <v>8.33333333333333</v>
      </c>
      <c r="O115" s="18" t="n">
        <f aca="false">F115/60*Assumptions!$B$20</f>
        <v>17.231884057971</v>
      </c>
      <c r="P115" s="18" t="n">
        <f aca="false">I115*Assumptions!$B$34*Assumptions!$B$35</f>
        <v>5.63635</v>
      </c>
      <c r="Q115" s="18" t="n">
        <f aca="false">SUM(K115:P115)</f>
        <v>74.9920673913044</v>
      </c>
      <c r="R115" s="18" t="n">
        <f aca="false">J115-Q115</f>
        <v>215.841265942029</v>
      </c>
      <c r="S115" s="28" t="n">
        <f aca="false">IF(J115=0,0,R115/J115)</f>
        <v>0.742147619284914</v>
      </c>
      <c r="T115" s="26" t="n">
        <f aca="false">INDEX($B$13:$B$25,MATCH(E115,$A$13:$A$25,0))</f>
        <v>0.6</v>
      </c>
      <c r="U115" s="18" t="n">
        <f aca="false">SUM(K115:O115)/(1-T115-Assumptions!$B$34*Assumptions!$B$35*(1+H115*$B$5))</f>
        <v>182.217743133058</v>
      </c>
      <c r="V115" s="18" t="n">
        <f aca="false">MROUND(U115*(1+H115*$B$5),$B$6)</f>
        <v>219</v>
      </c>
      <c r="W115" s="26" t="n">
        <f aca="false">IF(I115=0,0,V115/I115-1)</f>
        <v>-0.372492836676218</v>
      </c>
      <c r="X115" s="29" t="n">
        <f aca="false">MROUND(V115*3*(1-$B$7),$B$6)</f>
        <v>591</v>
      </c>
      <c r="Y115" s="29" t="n">
        <f aca="false">MROUND(V115*6*(1-$B$8),$B$6)</f>
        <v>1117</v>
      </c>
      <c r="Z115" s="29" t="n">
        <f aca="false">MROUND(V115*10*(1-$B$9),$B$6)</f>
        <v>1752</v>
      </c>
      <c r="AC115" s="25" t="n">
        <f aca="false">IF(OR(D115="ACTIVE",D115="CONSULTATION"),1,0)</f>
        <v>1</v>
      </c>
    </row>
    <row r="116" customFormat="false" ht="15" hidden="false" customHeight="false" outlineLevel="0" collapsed="false">
      <c r="A116" s="6" t="s">
        <v>366</v>
      </c>
      <c r="B116" s="6" t="s">
        <v>368</v>
      </c>
      <c r="C116" s="2" t="s">
        <v>280</v>
      </c>
      <c r="D116" s="2" t="s">
        <v>320</v>
      </c>
      <c r="E116" s="2" t="s">
        <v>177</v>
      </c>
      <c r="F116" s="25" t="n">
        <v>30</v>
      </c>
      <c r="G116" s="25" t="n">
        <v>30</v>
      </c>
      <c r="H116" s="26" t="n">
        <v>0.2</v>
      </c>
      <c r="I116" s="18" t="n">
        <v>349</v>
      </c>
      <c r="J116" s="18" t="n">
        <f aca="false">I116/(1+H116*$B$5)</f>
        <v>290.833333333333</v>
      </c>
      <c r="K116" s="27" t="n">
        <v>40</v>
      </c>
      <c r="L116" s="18" t="n">
        <f aca="false">G116/60*Machinery!$H$9*Assumptions!$B$23/100</f>
        <v>0.0405</v>
      </c>
      <c r="M116" s="18" t="n">
        <f aca="false">G116/60*Machinery!$K$9</f>
        <v>3.75</v>
      </c>
      <c r="N116" s="18" t="n">
        <f aca="false">G116/60*Machinery!$L$9</f>
        <v>8.33333333333333</v>
      </c>
      <c r="O116" s="18" t="n">
        <f aca="false">F116/60*Assumptions!$B$20</f>
        <v>17.231884057971</v>
      </c>
      <c r="P116" s="18" t="n">
        <f aca="false">I116*Assumptions!$B$34*Assumptions!$B$35</f>
        <v>5.63635</v>
      </c>
      <c r="Q116" s="18" t="n">
        <f aca="false">SUM(K116:P116)</f>
        <v>74.9920673913044</v>
      </c>
      <c r="R116" s="18" t="n">
        <f aca="false">J116-Q116</f>
        <v>215.841265942029</v>
      </c>
      <c r="S116" s="28" t="n">
        <f aca="false">IF(J116=0,0,R116/J116)</f>
        <v>0.742147619284914</v>
      </c>
      <c r="T116" s="26" t="n">
        <f aca="false">INDEX($B$13:$B$25,MATCH(E116,$A$13:$A$25,0))</f>
        <v>0.6</v>
      </c>
      <c r="U116" s="18" t="n">
        <f aca="false">SUM(K116:O116)/(1-T116-Assumptions!$B$34*Assumptions!$B$35*(1+H116*$B$5))</f>
        <v>182.217743133058</v>
      </c>
      <c r="V116" s="18" t="n">
        <f aca="false">MROUND(U116*(1+H116*$B$5),$B$6)</f>
        <v>219</v>
      </c>
      <c r="W116" s="26" t="n">
        <f aca="false">IF(I116=0,0,V116/I116-1)</f>
        <v>-0.372492836676218</v>
      </c>
      <c r="X116" s="29" t="n">
        <f aca="false">MROUND(V116*3*(1-$B$7),$B$6)</f>
        <v>591</v>
      </c>
      <c r="Y116" s="29" t="n">
        <f aca="false">MROUND(V116*6*(1-$B$8),$B$6)</f>
        <v>1117</v>
      </c>
      <c r="Z116" s="29" t="n">
        <f aca="false">MROUND(V116*10*(1-$B$9),$B$6)</f>
        <v>1752</v>
      </c>
      <c r="AC116" s="25" t="n">
        <f aca="false">IF(OR(D116="ACTIVE",D116="CONSULTATION"),1,0)</f>
        <v>1</v>
      </c>
    </row>
    <row r="117" customFormat="false" ht="15" hidden="false" customHeight="false" outlineLevel="0" collapsed="false">
      <c r="A117" s="6" t="s">
        <v>366</v>
      </c>
      <c r="B117" s="6" t="s">
        <v>369</v>
      </c>
      <c r="C117" s="2" t="s">
        <v>280</v>
      </c>
      <c r="D117" s="2" t="s">
        <v>320</v>
      </c>
      <c r="E117" s="2" t="s">
        <v>177</v>
      </c>
      <c r="F117" s="25" t="n">
        <v>40</v>
      </c>
      <c r="G117" s="25" t="n">
        <v>40</v>
      </c>
      <c r="H117" s="26" t="n">
        <v>0.2</v>
      </c>
      <c r="I117" s="18" t="n">
        <v>349</v>
      </c>
      <c r="J117" s="18" t="n">
        <f aca="false">I117/(1+H117*$B$5)</f>
        <v>290.833333333333</v>
      </c>
      <c r="K117" s="27" t="n">
        <v>50</v>
      </c>
      <c r="L117" s="18" t="n">
        <f aca="false">G117/60*Machinery!$H$9*Assumptions!$B$23/100</f>
        <v>0.054</v>
      </c>
      <c r="M117" s="18" t="n">
        <f aca="false">G117/60*Machinery!$K$9</f>
        <v>5</v>
      </c>
      <c r="N117" s="18" t="n">
        <f aca="false">G117/60*Machinery!$L$9</f>
        <v>11.1111111111111</v>
      </c>
      <c r="O117" s="18" t="n">
        <f aca="false">F117/60*Assumptions!$B$20</f>
        <v>22.975845410628</v>
      </c>
      <c r="P117" s="18" t="n">
        <f aca="false">I117*Assumptions!$B$34*Assumptions!$B$35</f>
        <v>5.63635</v>
      </c>
      <c r="Q117" s="18" t="n">
        <f aca="false">SUM(K117:P117)</f>
        <v>94.7773065217391</v>
      </c>
      <c r="R117" s="18" t="n">
        <f aca="false">J117-Q117</f>
        <v>196.056026811594</v>
      </c>
      <c r="S117" s="28" t="n">
        <f aca="false">IF(J117=0,0,R117/J117)</f>
        <v>0.674118143764794</v>
      </c>
      <c r="T117" s="26" t="n">
        <f aca="false">INDEX($B$13:$B$25,MATCH(E117,$A$13:$A$25,0))</f>
        <v>0.6</v>
      </c>
      <c r="U117" s="18" t="n">
        <f aca="false">SUM(K117:O117)/(1-T117-Assumptions!$B$34*Assumptions!$B$35*(1+H117*$B$5))</f>
        <v>234.199349802268</v>
      </c>
      <c r="V117" s="18" t="n">
        <f aca="false">MROUND(U117*(1+H117*$B$5),$B$6)</f>
        <v>281</v>
      </c>
      <c r="W117" s="26" t="n">
        <f aca="false">IF(I117=0,0,V117/I117-1)</f>
        <v>-0.194842406876791</v>
      </c>
      <c r="X117" s="29" t="n">
        <f aca="false">MROUND(V117*3*(1-$B$7),$B$6)</f>
        <v>759</v>
      </c>
      <c r="Y117" s="29" t="n">
        <f aca="false">MROUND(V117*6*(1-$B$8),$B$6)</f>
        <v>1433</v>
      </c>
      <c r="Z117" s="29" t="n">
        <f aca="false">MROUND(V117*10*(1-$B$9),$B$6)</f>
        <v>2248</v>
      </c>
      <c r="AC117" s="25" t="n">
        <f aca="false">IF(OR(D117="ACTIVE",D117="CONSULTATION"),1,0)</f>
        <v>1</v>
      </c>
    </row>
    <row r="118" customFormat="false" ht="15" hidden="false" customHeight="false" outlineLevel="0" collapsed="false">
      <c r="A118" s="6" t="s">
        <v>366</v>
      </c>
      <c r="B118" s="6" t="s">
        <v>370</v>
      </c>
      <c r="C118" s="2" t="s">
        <v>280</v>
      </c>
      <c r="D118" s="2" t="s">
        <v>320</v>
      </c>
      <c r="E118" s="2" t="s">
        <v>177</v>
      </c>
      <c r="F118" s="25" t="n">
        <v>40</v>
      </c>
      <c r="G118" s="25" t="n">
        <v>40</v>
      </c>
      <c r="H118" s="26" t="n">
        <v>0.2</v>
      </c>
      <c r="I118" s="18" t="n">
        <v>399</v>
      </c>
      <c r="J118" s="18" t="n">
        <f aca="false">I118/(1+H118*$B$5)</f>
        <v>332.5</v>
      </c>
      <c r="K118" s="27" t="n">
        <v>50</v>
      </c>
      <c r="L118" s="18" t="n">
        <f aca="false">G118/60*Machinery!$H$9*Assumptions!$B$23/100</f>
        <v>0.054</v>
      </c>
      <c r="M118" s="18" t="n">
        <f aca="false">G118/60*Machinery!$K$9</f>
        <v>5</v>
      </c>
      <c r="N118" s="18" t="n">
        <f aca="false">G118/60*Machinery!$L$9</f>
        <v>11.1111111111111</v>
      </c>
      <c r="O118" s="18" t="n">
        <f aca="false">F118/60*Assumptions!$B$20</f>
        <v>22.975845410628</v>
      </c>
      <c r="P118" s="18" t="n">
        <f aca="false">I118*Assumptions!$B$34*Assumptions!$B$35</f>
        <v>6.44385</v>
      </c>
      <c r="Q118" s="18" t="n">
        <f aca="false">SUM(K118:P118)</f>
        <v>95.5848065217391</v>
      </c>
      <c r="R118" s="18" t="n">
        <f aca="false">J118-Q118</f>
        <v>236.915193478261</v>
      </c>
      <c r="S118" s="28" t="n">
        <f aca="false">IF(J118=0,0,R118/J118)</f>
        <v>0.71252689767898</v>
      </c>
      <c r="T118" s="26" t="n">
        <f aca="false">INDEX($B$13:$B$25,MATCH(E118,$A$13:$A$25,0))</f>
        <v>0.6</v>
      </c>
      <c r="U118" s="18" t="n">
        <f aca="false">SUM(K118:O118)/(1-T118-Assumptions!$B$34*Assumptions!$B$35*(1+H118*$B$5))</f>
        <v>234.199349802268</v>
      </c>
      <c r="V118" s="18" t="n">
        <f aca="false">MROUND(U118*(1+H118*$B$5),$B$6)</f>
        <v>281</v>
      </c>
      <c r="W118" s="26" t="n">
        <f aca="false">IF(I118=0,0,V118/I118-1)</f>
        <v>-0.295739348370927</v>
      </c>
      <c r="X118" s="29" t="n">
        <f aca="false">MROUND(V118*3*(1-$B$7),$B$6)</f>
        <v>759</v>
      </c>
      <c r="Y118" s="29" t="n">
        <f aca="false">MROUND(V118*6*(1-$B$8),$B$6)</f>
        <v>1433</v>
      </c>
      <c r="Z118" s="29" t="n">
        <f aca="false">MROUND(V118*10*(1-$B$9),$B$6)</f>
        <v>2248</v>
      </c>
      <c r="AC118" s="25" t="n">
        <f aca="false">IF(OR(D118="ACTIVE",D118="CONSULTATION"),1,0)</f>
        <v>1</v>
      </c>
    </row>
    <row r="119" customFormat="false" ht="15" hidden="false" customHeight="false" outlineLevel="0" collapsed="false">
      <c r="A119" s="6" t="s">
        <v>366</v>
      </c>
      <c r="B119" s="6" t="s">
        <v>301</v>
      </c>
      <c r="C119" s="2" t="s">
        <v>280</v>
      </c>
      <c r="D119" s="2" t="s">
        <v>320</v>
      </c>
      <c r="E119" s="2" t="s">
        <v>177</v>
      </c>
      <c r="F119" s="25" t="n">
        <v>60</v>
      </c>
      <c r="G119" s="25" t="n">
        <v>60</v>
      </c>
      <c r="H119" s="26" t="n">
        <v>0.2</v>
      </c>
      <c r="I119" s="18" t="n">
        <v>479</v>
      </c>
      <c r="J119" s="18" t="n">
        <f aca="false">I119/(1+H119*$B$5)</f>
        <v>399.166666666667</v>
      </c>
      <c r="K119" s="27" t="n">
        <v>65</v>
      </c>
      <c r="L119" s="18" t="n">
        <f aca="false">G119/60*Machinery!$H$9*Assumptions!$B$23/100</f>
        <v>0.081</v>
      </c>
      <c r="M119" s="18" t="n">
        <f aca="false">G119/60*Machinery!$K$9</f>
        <v>7.5</v>
      </c>
      <c r="N119" s="18" t="n">
        <f aca="false">G119/60*Machinery!$L$9</f>
        <v>16.6666666666667</v>
      </c>
      <c r="O119" s="18" t="n">
        <f aca="false">F119/60*Assumptions!$B$20</f>
        <v>34.463768115942</v>
      </c>
      <c r="P119" s="18" t="n">
        <f aca="false">I119*Assumptions!$B$34*Assumptions!$B$35</f>
        <v>7.73585</v>
      </c>
      <c r="Q119" s="18" t="n">
        <f aca="false">SUM(K119:P119)</f>
        <v>131.447284782609</v>
      </c>
      <c r="R119" s="18" t="n">
        <f aca="false">J119-Q119</f>
        <v>267.719381884058</v>
      </c>
      <c r="S119" s="28" t="n">
        <f aca="false">IF(J119=0,0,R119/J119)</f>
        <v>0.670695737496596</v>
      </c>
      <c r="T119" s="26" t="n">
        <f aca="false">INDEX($B$13:$B$25,MATCH(E119,$A$13:$A$25,0))</f>
        <v>0.6</v>
      </c>
      <c r="U119" s="18" t="n">
        <f aca="false">SUM(K119:O119)/(1-T119-Assumptions!$B$34*Assumptions!$B$35*(1+H119*$B$5))</f>
        <v>325.026101577975</v>
      </c>
      <c r="V119" s="18" t="n">
        <f aca="false">MROUND(U119*(1+H119*$B$5),$B$6)</f>
        <v>390</v>
      </c>
      <c r="W119" s="26" t="n">
        <f aca="false">IF(I119=0,0,V119/I119-1)</f>
        <v>-0.18580375782881</v>
      </c>
      <c r="X119" s="29" t="n">
        <f aca="false">MROUND(V119*3*(1-$B$7),$B$6)</f>
        <v>1053</v>
      </c>
      <c r="Y119" s="29" t="n">
        <f aca="false">MROUND(V119*6*(1-$B$8),$B$6)</f>
        <v>1989</v>
      </c>
      <c r="Z119" s="29" t="n">
        <f aca="false">MROUND(V119*10*(1-$B$9),$B$6)</f>
        <v>3120</v>
      </c>
      <c r="AC119" s="25" t="n">
        <f aca="false">IF(OR(D119="ACTIVE",D119="CONSULTATION"),1,0)</f>
        <v>1</v>
      </c>
    </row>
    <row r="120" customFormat="false" ht="15" hidden="false" customHeight="false" outlineLevel="0" collapsed="false">
      <c r="A120" s="6" t="s">
        <v>366</v>
      </c>
      <c r="B120" s="6" t="s">
        <v>302</v>
      </c>
      <c r="C120" s="2" t="s">
        <v>280</v>
      </c>
      <c r="D120" s="2" t="s">
        <v>320</v>
      </c>
      <c r="E120" s="2" t="s">
        <v>177</v>
      </c>
      <c r="F120" s="25" t="n">
        <v>60</v>
      </c>
      <c r="G120" s="25" t="n">
        <v>60</v>
      </c>
      <c r="H120" s="26" t="n">
        <v>0.2</v>
      </c>
      <c r="I120" s="18" t="n">
        <v>559</v>
      </c>
      <c r="J120" s="18" t="n">
        <f aca="false">I120/(1+H120*$B$5)</f>
        <v>465.833333333333</v>
      </c>
      <c r="K120" s="27" t="n">
        <v>75</v>
      </c>
      <c r="L120" s="18" t="n">
        <f aca="false">G120/60*Machinery!$H$9*Assumptions!$B$23/100</f>
        <v>0.081</v>
      </c>
      <c r="M120" s="18" t="n">
        <f aca="false">G120/60*Machinery!$K$9</f>
        <v>7.5</v>
      </c>
      <c r="N120" s="18" t="n">
        <f aca="false">G120/60*Machinery!$L$9</f>
        <v>16.6666666666667</v>
      </c>
      <c r="O120" s="18" t="n">
        <f aca="false">F120/60*Assumptions!$B$20</f>
        <v>34.463768115942</v>
      </c>
      <c r="P120" s="18" t="n">
        <f aca="false">I120*Assumptions!$B$34*Assumptions!$B$35</f>
        <v>9.02785</v>
      </c>
      <c r="Q120" s="18" t="n">
        <f aca="false">SUM(K120:P120)</f>
        <v>142.739284782609</v>
      </c>
      <c r="R120" s="18" t="n">
        <f aca="false">J120-Q120</f>
        <v>323.094048550725</v>
      </c>
      <c r="S120" s="28" t="n">
        <f aca="false">IF(J120=0,0,R120/J120)</f>
        <v>0.69358293069923</v>
      </c>
      <c r="T120" s="26" t="n">
        <f aca="false">INDEX($B$13:$B$25,MATCH(E120,$A$13:$A$25,0))</f>
        <v>0.6</v>
      </c>
      <c r="U120" s="18" t="n">
        <f aca="false">SUM(K120:O120)/(1-T120-Assumptions!$B$34*Assumptions!$B$35*(1+H120*$B$5))</f>
        <v>351.299024703402</v>
      </c>
      <c r="V120" s="18" t="n">
        <f aca="false">MROUND(U120*(1+H120*$B$5),$B$6)</f>
        <v>422</v>
      </c>
      <c r="W120" s="26" t="n">
        <f aca="false">IF(I120=0,0,V120/I120-1)</f>
        <v>-0.245080500894454</v>
      </c>
      <c r="X120" s="29" t="n">
        <f aca="false">MROUND(V120*3*(1-$B$7),$B$6)</f>
        <v>1139</v>
      </c>
      <c r="Y120" s="29" t="n">
        <f aca="false">MROUND(V120*6*(1-$B$8),$B$6)</f>
        <v>2152</v>
      </c>
      <c r="Z120" s="29" t="n">
        <f aca="false">MROUND(V120*10*(1-$B$9),$B$6)</f>
        <v>3376</v>
      </c>
      <c r="AC120" s="25" t="n">
        <f aca="false">IF(OR(D120="ACTIVE",D120="CONSULTATION"),1,0)</f>
        <v>1</v>
      </c>
    </row>
    <row r="121" customFormat="false" ht="15" hidden="false" customHeight="false" outlineLevel="0" collapsed="false">
      <c r="A121" s="6" t="s">
        <v>366</v>
      </c>
      <c r="B121" s="6" t="s">
        <v>305</v>
      </c>
      <c r="C121" s="2" t="s">
        <v>280</v>
      </c>
      <c r="D121" s="2" t="s">
        <v>320</v>
      </c>
      <c r="E121" s="2" t="s">
        <v>177</v>
      </c>
      <c r="F121" s="25" t="n">
        <v>60</v>
      </c>
      <c r="G121" s="25" t="n">
        <v>60</v>
      </c>
      <c r="H121" s="26" t="n">
        <v>0.2</v>
      </c>
      <c r="I121" s="18" t="n">
        <v>399</v>
      </c>
      <c r="J121" s="18" t="n">
        <f aca="false">I121/(1+H121*$B$5)</f>
        <v>332.5</v>
      </c>
      <c r="K121" s="27" t="n">
        <v>80</v>
      </c>
      <c r="L121" s="18" t="n">
        <f aca="false">G121/60*Machinery!$H$9*Assumptions!$B$23/100</f>
        <v>0.081</v>
      </c>
      <c r="M121" s="18" t="n">
        <f aca="false">G121/60*Machinery!$K$9</f>
        <v>7.5</v>
      </c>
      <c r="N121" s="18" t="n">
        <f aca="false">G121/60*Machinery!$L$9</f>
        <v>16.6666666666667</v>
      </c>
      <c r="O121" s="18" t="n">
        <f aca="false">F121/60*Assumptions!$B$20</f>
        <v>34.463768115942</v>
      </c>
      <c r="P121" s="18" t="n">
        <f aca="false">I121*Assumptions!$B$34*Assumptions!$B$35</f>
        <v>6.44385</v>
      </c>
      <c r="Q121" s="18" t="n">
        <f aca="false">SUM(K121:P121)</f>
        <v>145.155284782609</v>
      </c>
      <c r="R121" s="18" t="n">
        <f aca="false">J121-Q121</f>
        <v>187.344715217391</v>
      </c>
      <c r="S121" s="28" t="n">
        <f aca="false">IF(J121=0,0,R121/J121)</f>
        <v>0.563442752533508</v>
      </c>
      <c r="T121" s="26" t="n">
        <f aca="false">INDEX($B$13:$B$25,MATCH(E121,$A$13:$A$25,0))</f>
        <v>0.6</v>
      </c>
      <c r="U121" s="18" t="n">
        <f aca="false">SUM(K121:O121)/(1-T121-Assumptions!$B$34*Assumptions!$B$35*(1+H121*$B$5))</f>
        <v>364.435486266115</v>
      </c>
      <c r="V121" s="18" t="n">
        <f aca="false">MROUND(U121*(1+H121*$B$5),$B$6)</f>
        <v>437</v>
      </c>
      <c r="W121" s="26" t="n">
        <f aca="false">IF(I121=0,0,V121/I121-1)</f>
        <v>0.0952380952380953</v>
      </c>
      <c r="X121" s="29" t="n">
        <f aca="false">MROUND(V121*3*(1-$B$7),$B$6)</f>
        <v>1180</v>
      </c>
      <c r="Y121" s="29" t="n">
        <f aca="false">MROUND(V121*6*(1-$B$8),$B$6)</f>
        <v>2229</v>
      </c>
      <c r="Z121" s="29" t="n">
        <f aca="false">MROUND(V121*10*(1-$B$9),$B$6)</f>
        <v>3496</v>
      </c>
      <c r="AC121" s="25" t="n">
        <f aca="false">IF(OR(D121="ACTIVE",D121="CONSULTATION"),1,0)</f>
        <v>1</v>
      </c>
    </row>
    <row r="122" customFormat="false" ht="15" hidden="false" customHeight="false" outlineLevel="0" collapsed="false">
      <c r="A122" s="6" t="s">
        <v>366</v>
      </c>
      <c r="B122" s="6" t="s">
        <v>371</v>
      </c>
      <c r="C122" s="2" t="s">
        <v>280</v>
      </c>
      <c r="D122" s="2" t="s">
        <v>320</v>
      </c>
      <c r="E122" s="2" t="s">
        <v>177</v>
      </c>
      <c r="F122" s="25" t="n">
        <v>60</v>
      </c>
      <c r="G122" s="25" t="n">
        <v>60</v>
      </c>
      <c r="H122" s="26" t="n">
        <v>0.2</v>
      </c>
      <c r="I122" s="18" t="n">
        <v>329</v>
      </c>
      <c r="J122" s="18" t="n">
        <f aca="false">I122/(1+H122*$B$5)</f>
        <v>274.166666666667</v>
      </c>
      <c r="K122" s="27" t="n">
        <v>80</v>
      </c>
      <c r="L122" s="18" t="n">
        <f aca="false">G122/60*Machinery!$H$9*Assumptions!$B$23/100</f>
        <v>0.081</v>
      </c>
      <c r="M122" s="18" t="n">
        <f aca="false">G122/60*Machinery!$K$9</f>
        <v>7.5</v>
      </c>
      <c r="N122" s="18" t="n">
        <f aca="false">G122/60*Machinery!$L$9</f>
        <v>16.6666666666667</v>
      </c>
      <c r="O122" s="18" t="n">
        <f aca="false">F122/60*Assumptions!$B$20</f>
        <v>34.463768115942</v>
      </c>
      <c r="P122" s="18" t="n">
        <f aca="false">I122*Assumptions!$B$34*Assumptions!$B$35</f>
        <v>5.31335</v>
      </c>
      <c r="Q122" s="18" t="n">
        <f aca="false">SUM(K122:P122)</f>
        <v>144.024784782609</v>
      </c>
      <c r="R122" s="18" t="n">
        <f aca="false">J122-Q122</f>
        <v>130.141881884058</v>
      </c>
      <c r="S122" s="28" t="n">
        <f aca="false">IF(J122=0,0,R122/J122)</f>
        <v>0.474681636051275</v>
      </c>
      <c r="T122" s="26" t="n">
        <f aca="false">INDEX($B$13:$B$25,MATCH(E122,$A$13:$A$25,0))</f>
        <v>0.6</v>
      </c>
      <c r="U122" s="18" t="n">
        <f aca="false">SUM(K122:O122)/(1-T122-Assumptions!$B$34*Assumptions!$B$35*(1+H122*$B$5))</f>
        <v>364.435486266115</v>
      </c>
      <c r="V122" s="18" t="n">
        <f aca="false">MROUND(U122*(1+H122*$B$5),$B$6)</f>
        <v>437</v>
      </c>
      <c r="W122" s="26" t="n">
        <f aca="false">IF(I122=0,0,V122/I122-1)</f>
        <v>0.328267477203647</v>
      </c>
      <c r="X122" s="29" t="n">
        <f aca="false">MROUND(V122*3*(1-$B$7),$B$6)</f>
        <v>1180</v>
      </c>
      <c r="Y122" s="29" t="n">
        <f aca="false">MROUND(V122*6*(1-$B$8),$B$6)</f>
        <v>2229</v>
      </c>
      <c r="Z122" s="29" t="n">
        <f aca="false">MROUND(V122*10*(1-$B$9),$B$6)</f>
        <v>3496</v>
      </c>
      <c r="AC122" s="25" t="n">
        <f aca="false">IF(OR(D122="ACTIVE",D122="CONSULTATION"),1,0)</f>
        <v>1</v>
      </c>
    </row>
    <row r="123" customFormat="false" ht="15" hidden="false" customHeight="false" outlineLevel="0" collapsed="false">
      <c r="A123" s="6" t="s">
        <v>366</v>
      </c>
      <c r="B123" s="6" t="s">
        <v>372</v>
      </c>
      <c r="C123" s="2" t="s">
        <v>280</v>
      </c>
      <c r="D123" s="2" t="s">
        <v>320</v>
      </c>
      <c r="E123" s="2" t="s">
        <v>177</v>
      </c>
      <c r="F123" s="25" t="n">
        <v>60</v>
      </c>
      <c r="G123" s="25" t="n">
        <v>60</v>
      </c>
      <c r="H123" s="26" t="n">
        <v>0.2</v>
      </c>
      <c r="I123" s="18" t="n">
        <v>349</v>
      </c>
      <c r="J123" s="18" t="n">
        <f aca="false">I123/(1+H123*$B$5)</f>
        <v>290.833333333333</v>
      </c>
      <c r="K123" s="27" t="n">
        <v>80</v>
      </c>
      <c r="L123" s="18" t="n">
        <f aca="false">G123/60*Machinery!$H$9*Assumptions!$B$23/100</f>
        <v>0.081</v>
      </c>
      <c r="M123" s="18" t="n">
        <f aca="false">G123/60*Machinery!$K$9</f>
        <v>7.5</v>
      </c>
      <c r="N123" s="18" t="n">
        <f aca="false">G123/60*Machinery!$L$9</f>
        <v>16.6666666666667</v>
      </c>
      <c r="O123" s="18" t="n">
        <f aca="false">F123/60*Assumptions!$B$20</f>
        <v>34.463768115942</v>
      </c>
      <c r="P123" s="18" t="n">
        <f aca="false">I123*Assumptions!$B$34*Assumptions!$B$35</f>
        <v>5.63635</v>
      </c>
      <c r="Q123" s="18" t="n">
        <f aca="false">SUM(K123:P123)</f>
        <v>144.347784782609</v>
      </c>
      <c r="R123" s="18" t="n">
        <f aca="false">J123-Q123</f>
        <v>146.485548550725</v>
      </c>
      <c r="S123" s="28" t="n">
        <f aca="false">IF(J123=0,0,R123/J123)</f>
        <v>0.503675238569827</v>
      </c>
      <c r="T123" s="26" t="n">
        <f aca="false">INDEX($B$13:$B$25,MATCH(E123,$A$13:$A$25,0))</f>
        <v>0.6</v>
      </c>
      <c r="U123" s="18" t="n">
        <f aca="false">SUM(K123:O123)/(1-T123-Assumptions!$B$34*Assumptions!$B$35*(1+H123*$B$5))</f>
        <v>364.435486266115</v>
      </c>
      <c r="V123" s="18" t="n">
        <f aca="false">MROUND(U123*(1+H123*$B$5),$B$6)</f>
        <v>437</v>
      </c>
      <c r="W123" s="26" t="n">
        <f aca="false">IF(I123=0,0,V123/I123-1)</f>
        <v>0.25214899713467</v>
      </c>
      <c r="X123" s="29" t="n">
        <f aca="false">MROUND(V123*3*(1-$B$7),$B$6)</f>
        <v>1180</v>
      </c>
      <c r="Y123" s="29" t="n">
        <f aca="false">MROUND(V123*6*(1-$B$8),$B$6)</f>
        <v>2229</v>
      </c>
      <c r="Z123" s="29" t="n">
        <f aca="false">MROUND(V123*10*(1-$B$9),$B$6)</f>
        <v>3496</v>
      </c>
      <c r="AC123" s="25" t="n">
        <f aca="false">IF(OR(D123="ACTIVE",D123="CONSULTATION"),1,0)</f>
        <v>1</v>
      </c>
    </row>
    <row r="124" customFormat="false" ht="15" hidden="false" customHeight="false" outlineLevel="0" collapsed="false">
      <c r="A124" s="6" t="s">
        <v>366</v>
      </c>
      <c r="B124" s="6" t="s">
        <v>373</v>
      </c>
      <c r="C124" s="2" t="s">
        <v>280</v>
      </c>
      <c r="D124" s="2" t="s">
        <v>320</v>
      </c>
      <c r="E124" s="2" t="s">
        <v>177</v>
      </c>
      <c r="F124" s="25" t="n">
        <v>60</v>
      </c>
      <c r="G124" s="25" t="n">
        <v>60</v>
      </c>
      <c r="H124" s="26" t="n">
        <v>0.2</v>
      </c>
      <c r="I124" s="18" t="n">
        <v>329</v>
      </c>
      <c r="J124" s="18" t="n">
        <f aca="false">I124/(1+H124*$B$5)</f>
        <v>274.166666666667</v>
      </c>
      <c r="K124" s="27" t="n">
        <v>80</v>
      </c>
      <c r="L124" s="18" t="n">
        <f aca="false">G124/60*Machinery!$H$9*Assumptions!$B$23/100</f>
        <v>0.081</v>
      </c>
      <c r="M124" s="18" t="n">
        <f aca="false">G124/60*Machinery!$K$9</f>
        <v>7.5</v>
      </c>
      <c r="N124" s="18" t="n">
        <f aca="false">G124/60*Machinery!$L$9</f>
        <v>16.6666666666667</v>
      </c>
      <c r="O124" s="18" t="n">
        <f aca="false">F124/60*Assumptions!$B$20</f>
        <v>34.463768115942</v>
      </c>
      <c r="P124" s="18" t="n">
        <f aca="false">I124*Assumptions!$B$34*Assumptions!$B$35</f>
        <v>5.31335</v>
      </c>
      <c r="Q124" s="18" t="n">
        <f aca="false">SUM(K124:P124)</f>
        <v>144.024784782609</v>
      </c>
      <c r="R124" s="18" t="n">
        <f aca="false">J124-Q124</f>
        <v>130.141881884058</v>
      </c>
      <c r="S124" s="28" t="n">
        <f aca="false">IF(J124=0,0,R124/J124)</f>
        <v>0.474681636051275</v>
      </c>
      <c r="T124" s="26" t="n">
        <f aca="false">INDEX($B$13:$B$25,MATCH(E124,$A$13:$A$25,0))</f>
        <v>0.6</v>
      </c>
      <c r="U124" s="18" t="n">
        <f aca="false">SUM(K124:O124)/(1-T124-Assumptions!$B$34*Assumptions!$B$35*(1+H124*$B$5))</f>
        <v>364.435486266115</v>
      </c>
      <c r="V124" s="18" t="n">
        <f aca="false">MROUND(U124*(1+H124*$B$5),$B$6)</f>
        <v>437</v>
      </c>
      <c r="W124" s="26" t="n">
        <f aca="false">IF(I124=0,0,V124/I124-1)</f>
        <v>0.328267477203647</v>
      </c>
      <c r="X124" s="29" t="n">
        <f aca="false">MROUND(V124*3*(1-$B$7),$B$6)</f>
        <v>1180</v>
      </c>
      <c r="Y124" s="29" t="n">
        <f aca="false">MROUND(V124*6*(1-$B$8),$B$6)</f>
        <v>2229</v>
      </c>
      <c r="Z124" s="29" t="n">
        <f aca="false">MROUND(V124*10*(1-$B$9),$B$6)</f>
        <v>3496</v>
      </c>
      <c r="AC124" s="25" t="n">
        <f aca="false">IF(OR(D124="ACTIVE",D124="CONSULTATION"),1,0)</f>
        <v>1</v>
      </c>
    </row>
    <row r="125" customFormat="false" ht="15" hidden="false" customHeight="false" outlineLevel="0" collapsed="false">
      <c r="A125" s="6" t="s">
        <v>366</v>
      </c>
      <c r="B125" s="6" t="s">
        <v>374</v>
      </c>
      <c r="C125" s="2" t="s">
        <v>280</v>
      </c>
      <c r="D125" s="2" t="s">
        <v>320</v>
      </c>
      <c r="E125" s="2" t="s">
        <v>177</v>
      </c>
      <c r="F125" s="25" t="n">
        <v>60</v>
      </c>
      <c r="G125" s="25" t="n">
        <v>60</v>
      </c>
      <c r="H125" s="26" t="n">
        <v>0.2</v>
      </c>
      <c r="I125" s="18" t="n">
        <v>349</v>
      </c>
      <c r="J125" s="18" t="n">
        <f aca="false">I125/(1+H125*$B$5)</f>
        <v>290.833333333333</v>
      </c>
      <c r="K125" s="27" t="n">
        <v>80</v>
      </c>
      <c r="L125" s="18" t="n">
        <f aca="false">G125/60*Machinery!$H$9*Assumptions!$B$23/100</f>
        <v>0.081</v>
      </c>
      <c r="M125" s="18" t="n">
        <f aca="false">G125/60*Machinery!$K$9</f>
        <v>7.5</v>
      </c>
      <c r="N125" s="18" t="n">
        <f aca="false">G125/60*Machinery!$L$9</f>
        <v>16.6666666666667</v>
      </c>
      <c r="O125" s="18" t="n">
        <f aca="false">F125/60*Assumptions!$B$20</f>
        <v>34.463768115942</v>
      </c>
      <c r="P125" s="18" t="n">
        <f aca="false">I125*Assumptions!$B$34*Assumptions!$B$35</f>
        <v>5.63635</v>
      </c>
      <c r="Q125" s="18" t="n">
        <f aca="false">SUM(K125:P125)</f>
        <v>144.347784782609</v>
      </c>
      <c r="R125" s="18" t="n">
        <f aca="false">J125-Q125</f>
        <v>146.485548550725</v>
      </c>
      <c r="S125" s="28" t="n">
        <f aca="false">IF(J125=0,0,R125/J125)</f>
        <v>0.503675238569827</v>
      </c>
      <c r="T125" s="26" t="n">
        <f aca="false">INDEX($B$13:$B$25,MATCH(E125,$A$13:$A$25,0))</f>
        <v>0.6</v>
      </c>
      <c r="U125" s="18" t="n">
        <f aca="false">SUM(K125:O125)/(1-T125-Assumptions!$B$34*Assumptions!$B$35*(1+H125*$B$5))</f>
        <v>364.435486266115</v>
      </c>
      <c r="V125" s="18" t="n">
        <f aca="false">MROUND(U125*(1+H125*$B$5),$B$6)</f>
        <v>437</v>
      </c>
      <c r="W125" s="26" t="n">
        <f aca="false">IF(I125=0,0,V125/I125-1)</f>
        <v>0.25214899713467</v>
      </c>
      <c r="X125" s="29" t="n">
        <f aca="false">MROUND(V125*3*(1-$B$7),$B$6)</f>
        <v>1180</v>
      </c>
      <c r="Y125" s="29" t="n">
        <f aca="false">MROUND(V125*6*(1-$B$8),$B$6)</f>
        <v>2229</v>
      </c>
      <c r="Z125" s="29" t="n">
        <f aca="false">MROUND(V125*10*(1-$B$9),$B$6)</f>
        <v>3496</v>
      </c>
      <c r="AC125" s="25" t="n">
        <f aca="false">IF(OR(D125="ACTIVE",D125="CONSULTATION"),1,0)</f>
        <v>1</v>
      </c>
    </row>
    <row r="126" customFormat="false" ht="15" hidden="false" customHeight="false" outlineLevel="0" collapsed="false">
      <c r="A126" s="6" t="s">
        <v>366</v>
      </c>
      <c r="B126" s="6" t="s">
        <v>375</v>
      </c>
      <c r="C126" s="2" t="s">
        <v>280</v>
      </c>
      <c r="D126" s="2" t="s">
        <v>320</v>
      </c>
      <c r="E126" s="2" t="s">
        <v>177</v>
      </c>
      <c r="F126" s="25" t="n">
        <v>40</v>
      </c>
      <c r="G126" s="25" t="n">
        <v>40</v>
      </c>
      <c r="H126" s="26" t="n">
        <v>0.2</v>
      </c>
      <c r="I126" s="18" t="n">
        <v>309</v>
      </c>
      <c r="J126" s="18" t="n">
        <f aca="false">I126/(1+H126*$B$5)</f>
        <v>257.5</v>
      </c>
      <c r="K126" s="27" t="n">
        <v>50</v>
      </c>
      <c r="L126" s="18" t="n">
        <f aca="false">G126/60*Machinery!$H$9*Assumptions!$B$23/100</f>
        <v>0.054</v>
      </c>
      <c r="M126" s="18" t="n">
        <f aca="false">G126/60*Machinery!$K$9</f>
        <v>5</v>
      </c>
      <c r="N126" s="18" t="n">
        <f aca="false">G126/60*Machinery!$L$9</f>
        <v>11.1111111111111</v>
      </c>
      <c r="O126" s="18" t="n">
        <f aca="false">F126/60*Assumptions!$B$20</f>
        <v>22.975845410628</v>
      </c>
      <c r="P126" s="18" t="n">
        <f aca="false">I126*Assumptions!$B$34*Assumptions!$B$35</f>
        <v>4.99035</v>
      </c>
      <c r="Q126" s="18" t="n">
        <f aca="false">SUM(K126:P126)</f>
        <v>94.1313065217391</v>
      </c>
      <c r="R126" s="18" t="n">
        <f aca="false">J126-Q126</f>
        <v>163.368693478261</v>
      </c>
      <c r="S126" s="28" t="n">
        <f aca="false">IF(J126=0,0,R126/J126)</f>
        <v>0.634441528070916</v>
      </c>
      <c r="T126" s="26" t="n">
        <f aca="false">INDEX($B$13:$B$25,MATCH(E126,$A$13:$A$25,0))</f>
        <v>0.6</v>
      </c>
      <c r="U126" s="18" t="n">
        <f aca="false">SUM(K126:O126)/(1-T126-Assumptions!$B$34*Assumptions!$B$35*(1+H126*$B$5))</f>
        <v>234.199349802268</v>
      </c>
      <c r="V126" s="18" t="n">
        <f aca="false">MROUND(U126*(1+H126*$B$5),$B$6)</f>
        <v>281</v>
      </c>
      <c r="W126" s="26" t="n">
        <f aca="false">IF(I126=0,0,V126/I126-1)</f>
        <v>-0.0906148867313916</v>
      </c>
      <c r="X126" s="29" t="n">
        <f aca="false">MROUND(V126*3*(1-$B$7),$B$6)</f>
        <v>759</v>
      </c>
      <c r="Y126" s="29" t="n">
        <f aca="false">MROUND(V126*6*(1-$B$8),$B$6)</f>
        <v>1433</v>
      </c>
      <c r="Z126" s="29" t="n">
        <f aca="false">MROUND(V126*10*(1-$B$9),$B$6)</f>
        <v>2248</v>
      </c>
      <c r="AC126" s="25" t="n">
        <f aca="false">IF(OR(D126="ACTIVE",D126="CONSULTATION"),1,0)</f>
        <v>1</v>
      </c>
    </row>
    <row r="127" customFormat="false" ht="15" hidden="false" customHeight="false" outlineLevel="0" collapsed="false">
      <c r="A127" s="6" t="s">
        <v>366</v>
      </c>
      <c r="B127" s="6" t="s">
        <v>376</v>
      </c>
      <c r="C127" s="2" t="s">
        <v>280</v>
      </c>
      <c r="D127" s="2" t="s">
        <v>320</v>
      </c>
      <c r="E127" s="2" t="s">
        <v>177</v>
      </c>
      <c r="F127" s="25" t="n">
        <v>50</v>
      </c>
      <c r="G127" s="25" t="n">
        <v>50</v>
      </c>
      <c r="H127" s="26" t="n">
        <v>0.2</v>
      </c>
      <c r="I127" s="18" t="n">
        <v>349</v>
      </c>
      <c r="J127" s="18" t="n">
        <f aca="false">I127/(1+H127*$B$5)</f>
        <v>290.833333333333</v>
      </c>
      <c r="K127" s="27" t="n">
        <v>65</v>
      </c>
      <c r="L127" s="18" t="n">
        <f aca="false">G127/60*Machinery!$H$9*Assumptions!$B$23/100</f>
        <v>0.0675</v>
      </c>
      <c r="M127" s="18" t="n">
        <f aca="false">G127/60*Machinery!$K$9</f>
        <v>6.25</v>
      </c>
      <c r="N127" s="18" t="n">
        <f aca="false">G127/60*Machinery!$L$9</f>
        <v>13.8888888888889</v>
      </c>
      <c r="O127" s="18" t="n">
        <f aca="false">F127/60*Assumptions!$B$20</f>
        <v>28.719806763285</v>
      </c>
      <c r="P127" s="18" t="n">
        <f aca="false">I127*Assumptions!$B$34*Assumptions!$B$35</f>
        <v>5.63635</v>
      </c>
      <c r="Q127" s="18" t="n">
        <f aca="false">SUM(K127:P127)</f>
        <v>119.562545652174</v>
      </c>
      <c r="R127" s="18" t="n">
        <f aca="false">J127-Q127</f>
        <v>171.270787681159</v>
      </c>
      <c r="S127" s="28" t="n">
        <f aca="false">IF(J127=0,0,R127/J127)</f>
        <v>0.58889669116731</v>
      </c>
      <c r="T127" s="26" t="n">
        <f aca="false">INDEX($B$13:$B$25,MATCH(E127,$A$13:$A$25,0))</f>
        <v>0.6</v>
      </c>
      <c r="U127" s="18" t="n">
        <f aca="false">SUM(K127:O127)/(1-T127-Assumptions!$B$34*Assumptions!$B$35*(1+H127*$B$5))</f>
        <v>299.317418034191</v>
      </c>
      <c r="V127" s="18" t="n">
        <f aca="false">MROUND(U127*(1+H127*$B$5),$B$6)</f>
        <v>359</v>
      </c>
      <c r="W127" s="26" t="n">
        <f aca="false">IF(I127=0,0,V127/I127-1)</f>
        <v>0.0286532951289398</v>
      </c>
      <c r="X127" s="29" t="n">
        <f aca="false">MROUND(V127*3*(1-$B$7),$B$6)</f>
        <v>969</v>
      </c>
      <c r="Y127" s="29" t="n">
        <f aca="false">MROUND(V127*6*(1-$B$8),$B$6)</f>
        <v>1831</v>
      </c>
      <c r="Z127" s="29" t="n">
        <f aca="false">MROUND(V127*10*(1-$B$9),$B$6)</f>
        <v>2872</v>
      </c>
      <c r="AC127" s="25" t="n">
        <f aca="false">IF(OR(D127="ACTIVE",D127="CONSULTATION"),1,0)</f>
        <v>1</v>
      </c>
    </row>
    <row r="128" customFormat="false" ht="15" hidden="false" customHeight="false" outlineLevel="0" collapsed="false">
      <c r="A128" s="6" t="s">
        <v>377</v>
      </c>
      <c r="B128" s="6" t="s">
        <v>301</v>
      </c>
      <c r="C128" s="2" t="s">
        <v>280</v>
      </c>
      <c r="D128" s="2" t="s">
        <v>320</v>
      </c>
      <c r="E128" s="2" t="s">
        <v>215</v>
      </c>
      <c r="F128" s="25" t="n">
        <v>60</v>
      </c>
      <c r="G128" s="25" t="n">
        <v>0</v>
      </c>
      <c r="H128" s="26" t="n">
        <v>0.2</v>
      </c>
      <c r="I128" s="18" t="n">
        <v>125</v>
      </c>
      <c r="J128" s="18" t="n">
        <f aca="false">I128/(1+H128*$B$5)</f>
        <v>104.166666666667</v>
      </c>
      <c r="K128" s="27" t="n">
        <v>12</v>
      </c>
      <c r="L128" s="18" t="n">
        <f aca="false">G128/60*Machinery!$H$17*Assumptions!$B$23/100</f>
        <v>0</v>
      </c>
      <c r="M128" s="18" t="n">
        <f aca="false">G128/60*Machinery!$K$17</f>
        <v>0</v>
      </c>
      <c r="N128" s="18" t="n">
        <f aca="false">G128/60*Machinery!$L$17</f>
        <v>0</v>
      </c>
      <c r="O128" s="18" t="n">
        <f aca="false">F128/60*Assumptions!$B$20</f>
        <v>34.463768115942</v>
      </c>
      <c r="P128" s="18" t="n">
        <f aca="false">I128*Assumptions!$B$34*Assumptions!$B$35</f>
        <v>2.01875</v>
      </c>
      <c r="Q128" s="18" t="n">
        <f aca="false">SUM(K128:P128)</f>
        <v>48.482518115942</v>
      </c>
      <c r="R128" s="18" t="n">
        <f aca="false">J128-Q128</f>
        <v>55.6841485507246</v>
      </c>
      <c r="S128" s="28" t="n">
        <f aca="false">IF(J128=0,0,R128/J128)</f>
        <v>0.534567826086957</v>
      </c>
      <c r="T128" s="26" t="n">
        <f aca="false">INDEX($B$13:$B$25,MATCH(E128,$A$13:$A$25,0))</f>
        <v>0.65</v>
      </c>
      <c r="U128" s="18" t="n">
        <f aca="false">SUM(K128:O128)/(1-T128-Assumptions!$B$34*Assumptions!$B$35*(1+H128*$B$5))</f>
        <v>140.535261375422</v>
      </c>
      <c r="V128" s="18" t="n">
        <f aca="false">MROUND(U128*(1+H128*$B$5),$B$6)</f>
        <v>169</v>
      </c>
      <c r="W128" s="26" t="n">
        <f aca="false">IF(I128=0,0,V128/I128-1)</f>
        <v>0.352</v>
      </c>
      <c r="X128" s="29" t="n">
        <f aca="false">MROUND(V128*3*(1-$B$7),$B$6)</f>
        <v>456</v>
      </c>
      <c r="Y128" s="29" t="n">
        <f aca="false">MROUND(V128*6*(1-$B$8),$B$6)</f>
        <v>862</v>
      </c>
      <c r="Z128" s="29" t="n">
        <f aca="false">MROUND(V128*10*(1-$B$9),$B$6)</f>
        <v>1352</v>
      </c>
      <c r="AC128" s="25" t="n">
        <f aca="false">IF(OR(D128="ACTIVE",D128="CONSULTATION"),1,0)</f>
        <v>1</v>
      </c>
    </row>
    <row r="129" customFormat="false" ht="15" hidden="false" customHeight="false" outlineLevel="0" collapsed="false">
      <c r="A129" s="6" t="s">
        <v>378</v>
      </c>
      <c r="B129" s="6" t="s">
        <v>379</v>
      </c>
      <c r="C129" s="2" t="s">
        <v>280</v>
      </c>
      <c r="D129" s="2" t="s">
        <v>320</v>
      </c>
      <c r="E129" s="2" t="s">
        <v>210</v>
      </c>
      <c r="F129" s="25" t="n">
        <v>30</v>
      </c>
      <c r="G129" s="25" t="n">
        <v>0</v>
      </c>
      <c r="H129" s="26" t="n">
        <v>0.2</v>
      </c>
      <c r="I129" s="18" t="n">
        <v>145</v>
      </c>
      <c r="J129" s="18" t="n">
        <f aca="false">I129/(1+H129*$B$5)</f>
        <v>120.833333333333</v>
      </c>
      <c r="K129" s="27" t="n">
        <v>35</v>
      </c>
      <c r="L129" s="18" t="n">
        <f aca="false">G129/60*Machinery!$H$16*Assumptions!$B$23/100</f>
        <v>0</v>
      </c>
      <c r="M129" s="18" t="n">
        <f aca="false">G129/60*Machinery!$K$16</f>
        <v>0</v>
      </c>
      <c r="N129" s="18" t="n">
        <f aca="false">G129/60*Machinery!$L$16</f>
        <v>0</v>
      </c>
      <c r="O129" s="18" t="n">
        <f aca="false">F129/60*Assumptions!$B$20</f>
        <v>17.231884057971</v>
      </c>
      <c r="P129" s="18" t="n">
        <f aca="false">I129*Assumptions!$B$34*Assumptions!$B$35</f>
        <v>2.34175</v>
      </c>
      <c r="Q129" s="18" t="n">
        <f aca="false">SUM(K129:P129)</f>
        <v>54.573634057971</v>
      </c>
      <c r="R129" s="18" t="n">
        <f aca="false">J129-Q129</f>
        <v>66.2596992753623</v>
      </c>
      <c r="S129" s="28" t="n">
        <f aca="false">IF(J129=0,0,R129/J129)</f>
        <v>0.548356131934033</v>
      </c>
      <c r="T129" s="26" t="n">
        <f aca="false">INDEX($B$13:$B$25,MATCH(E129,$A$13:$A$25,0))</f>
        <v>0.55</v>
      </c>
      <c r="U129" s="18" t="n">
        <f aca="false">SUM(K129:O129)/(1-T129-Assumptions!$B$34*Assumptions!$B$35*(1+H129*$B$5))</f>
        <v>121.294607909459</v>
      </c>
      <c r="V129" s="18" t="n">
        <f aca="false">MROUND(U129*(1+H129*$B$5),$B$6)</f>
        <v>146</v>
      </c>
      <c r="W129" s="26" t="n">
        <f aca="false">IF(I129=0,0,V129/I129-1)</f>
        <v>0.00689655172413795</v>
      </c>
      <c r="X129" s="29" t="n">
        <f aca="false">MROUND(V129*3*(1-$B$7),$B$6)</f>
        <v>394</v>
      </c>
      <c r="Y129" s="29" t="n">
        <f aca="false">MROUND(V129*6*(1-$B$8),$B$6)</f>
        <v>745</v>
      </c>
      <c r="Z129" s="29" t="n">
        <f aca="false">MROUND(V129*10*(1-$B$9),$B$6)</f>
        <v>1168</v>
      </c>
      <c r="AC129" s="25" t="n">
        <f aca="false">IF(OR(D129="ACTIVE",D129="CONSULTATION"),1,0)</f>
        <v>1</v>
      </c>
    </row>
    <row r="130" customFormat="false" ht="15" hidden="false" customHeight="false" outlineLevel="0" collapsed="false">
      <c r="A130" s="6" t="s">
        <v>378</v>
      </c>
      <c r="B130" s="6" t="s">
        <v>380</v>
      </c>
      <c r="C130" s="2" t="s">
        <v>280</v>
      </c>
      <c r="D130" s="2" t="s">
        <v>320</v>
      </c>
      <c r="E130" s="2" t="s">
        <v>210</v>
      </c>
      <c r="F130" s="25" t="n">
        <v>30</v>
      </c>
      <c r="G130" s="25" t="n">
        <v>0</v>
      </c>
      <c r="H130" s="26" t="n">
        <v>0.2</v>
      </c>
      <c r="I130" s="18" t="n">
        <v>225</v>
      </c>
      <c r="J130" s="18" t="n">
        <f aca="false">I130/(1+H130*$B$5)</f>
        <v>187.5</v>
      </c>
      <c r="K130" s="27" t="n">
        <v>55</v>
      </c>
      <c r="L130" s="18" t="n">
        <f aca="false">G130/60*Machinery!$H$16*Assumptions!$B$23/100</f>
        <v>0</v>
      </c>
      <c r="M130" s="18" t="n">
        <f aca="false">G130/60*Machinery!$K$16</f>
        <v>0</v>
      </c>
      <c r="N130" s="18" t="n">
        <f aca="false">G130/60*Machinery!$L$16</f>
        <v>0</v>
      </c>
      <c r="O130" s="18" t="n">
        <f aca="false">F130/60*Assumptions!$B$20</f>
        <v>17.231884057971</v>
      </c>
      <c r="P130" s="18" t="n">
        <f aca="false">I130*Assumptions!$B$34*Assumptions!$B$35</f>
        <v>3.63375</v>
      </c>
      <c r="Q130" s="18" t="n">
        <f aca="false">SUM(K130:P130)</f>
        <v>75.865634057971</v>
      </c>
      <c r="R130" s="18" t="n">
        <f aca="false">J130-Q130</f>
        <v>111.634365942029</v>
      </c>
      <c r="S130" s="28" t="n">
        <f aca="false">IF(J130=0,0,R130/J130)</f>
        <v>0.595383285024155</v>
      </c>
      <c r="T130" s="26" t="n">
        <f aca="false">INDEX($B$13:$B$25,MATCH(E130,$A$13:$A$25,0))</f>
        <v>0.55</v>
      </c>
      <c r="U130" s="18" t="n">
        <f aca="false">SUM(K130:O130)/(1-T130-Assumptions!$B$34*Assumptions!$B$35*(1+H130*$B$5))</f>
        <v>167.739269095655</v>
      </c>
      <c r="V130" s="18" t="n">
        <f aca="false">MROUND(U130*(1+H130*$B$5),$B$6)</f>
        <v>201</v>
      </c>
      <c r="W130" s="26" t="n">
        <f aca="false">IF(I130=0,0,V130/I130-1)</f>
        <v>-0.106666666666667</v>
      </c>
      <c r="X130" s="29" t="n">
        <f aca="false">MROUND(V130*3*(1-$B$7),$B$6)</f>
        <v>543</v>
      </c>
      <c r="Y130" s="29" t="n">
        <f aca="false">MROUND(V130*6*(1-$B$8),$B$6)</f>
        <v>1025</v>
      </c>
      <c r="Z130" s="29" t="n">
        <f aca="false">MROUND(V130*10*(1-$B$9),$B$6)</f>
        <v>1608</v>
      </c>
      <c r="AC130" s="25" t="n">
        <f aca="false">IF(OR(D130="ACTIVE",D130="CONSULTATION"),1,0)</f>
        <v>1</v>
      </c>
    </row>
    <row r="131" customFormat="false" ht="15" hidden="false" customHeight="false" outlineLevel="0" collapsed="false">
      <c r="A131" s="6" t="s">
        <v>378</v>
      </c>
      <c r="B131" s="6" t="s">
        <v>381</v>
      </c>
      <c r="C131" s="2" t="s">
        <v>280</v>
      </c>
      <c r="D131" s="2" t="s">
        <v>320</v>
      </c>
      <c r="E131" s="2" t="s">
        <v>210</v>
      </c>
      <c r="F131" s="25" t="n">
        <v>30</v>
      </c>
      <c r="G131" s="25" t="n">
        <v>0</v>
      </c>
      <c r="H131" s="26" t="n">
        <v>0.2</v>
      </c>
      <c r="I131" s="18" t="n">
        <v>290</v>
      </c>
      <c r="J131" s="18" t="n">
        <f aca="false">I131/(1+H131*$B$5)</f>
        <v>241.666666666667</v>
      </c>
      <c r="K131" s="27" t="n">
        <v>75</v>
      </c>
      <c r="L131" s="18" t="n">
        <f aca="false">G131/60*Machinery!$H$16*Assumptions!$B$23/100</f>
        <v>0</v>
      </c>
      <c r="M131" s="18" t="n">
        <f aca="false">G131/60*Machinery!$K$16</f>
        <v>0</v>
      </c>
      <c r="N131" s="18" t="n">
        <f aca="false">G131/60*Machinery!$L$16</f>
        <v>0</v>
      </c>
      <c r="O131" s="18" t="n">
        <f aca="false">F131/60*Assumptions!$B$20</f>
        <v>17.231884057971</v>
      </c>
      <c r="P131" s="18" t="n">
        <f aca="false">I131*Assumptions!$B$34*Assumptions!$B$35</f>
        <v>4.6835</v>
      </c>
      <c r="Q131" s="18" t="n">
        <f aca="false">SUM(K131:P131)</f>
        <v>96.915384057971</v>
      </c>
      <c r="R131" s="18" t="n">
        <f aca="false">J131-Q131</f>
        <v>144.751282608696</v>
      </c>
      <c r="S131" s="28" t="n">
        <f aca="false">IF(J131=0,0,R131/J131)</f>
        <v>0.598970824587706</v>
      </c>
      <c r="T131" s="26" t="n">
        <f aca="false">INDEX($B$13:$B$25,MATCH(E131,$A$13:$A$25,0))</f>
        <v>0.55</v>
      </c>
      <c r="U131" s="18" t="n">
        <f aca="false">SUM(K131:O131)/(1-T131-Assumptions!$B$34*Assumptions!$B$35*(1+H131*$B$5))</f>
        <v>214.183930281852</v>
      </c>
      <c r="V131" s="18" t="n">
        <f aca="false">MROUND(U131*(1+H131*$B$5),$B$6)</f>
        <v>257</v>
      </c>
      <c r="W131" s="26" t="n">
        <f aca="false">IF(I131=0,0,V131/I131-1)</f>
        <v>-0.113793103448276</v>
      </c>
      <c r="X131" s="29" t="n">
        <f aca="false">MROUND(V131*3*(1-$B$7),$B$6)</f>
        <v>694</v>
      </c>
      <c r="Y131" s="29" t="n">
        <f aca="false">MROUND(V131*6*(1-$B$8),$B$6)</f>
        <v>1311</v>
      </c>
      <c r="Z131" s="29" t="n">
        <f aca="false">MROUND(V131*10*(1-$B$9),$B$6)</f>
        <v>2056</v>
      </c>
      <c r="AC131" s="25" t="n">
        <f aca="false">IF(OR(D131="ACTIVE",D131="CONSULTATION"),1,0)</f>
        <v>1</v>
      </c>
    </row>
    <row r="132" customFormat="false" ht="15" hidden="false" customHeight="false" outlineLevel="0" collapsed="false">
      <c r="A132" s="6" t="s">
        <v>382</v>
      </c>
      <c r="B132" s="6" t="s">
        <v>382</v>
      </c>
      <c r="C132" s="2" t="s">
        <v>280</v>
      </c>
      <c r="D132" s="2" t="s">
        <v>320</v>
      </c>
      <c r="E132" s="2" t="s">
        <v>182</v>
      </c>
      <c r="F132" s="25" t="n">
        <v>60</v>
      </c>
      <c r="G132" s="25" t="n">
        <v>60</v>
      </c>
      <c r="H132" s="26" t="n">
        <v>0.2</v>
      </c>
      <c r="I132" s="18" t="n">
        <v>260</v>
      </c>
      <c r="J132" s="18" t="n">
        <f aca="false">I132/(1+H132*$B$5)</f>
        <v>216.666666666667</v>
      </c>
      <c r="K132" s="27" t="n">
        <v>3</v>
      </c>
      <c r="L132" s="18" t="n">
        <f aca="false">G132/60*Machinery!$H$10*Assumptions!$B$23/100</f>
        <v>0.135</v>
      </c>
      <c r="M132" s="18" t="n">
        <f aca="false">G132/60*Machinery!$K$10</f>
        <v>20.8333333333333</v>
      </c>
      <c r="N132" s="18" t="n">
        <f aca="false">G132/60*Machinery!$L$10</f>
        <v>39.6825396825397</v>
      </c>
      <c r="O132" s="18" t="n">
        <f aca="false">F132/60*Assumptions!$B$20</f>
        <v>34.463768115942</v>
      </c>
      <c r="P132" s="18" t="n">
        <f aca="false">I132*Assumptions!$B$34*Assumptions!$B$35</f>
        <v>4.199</v>
      </c>
      <c r="Q132" s="18" t="n">
        <f aca="false">SUM(K132:P132)</f>
        <v>102.313641131815</v>
      </c>
      <c r="R132" s="18" t="n">
        <f aca="false">J132-Q132</f>
        <v>114.353025534852</v>
      </c>
      <c r="S132" s="28" t="n">
        <f aca="false">IF(J132=0,0,R132/J132)</f>
        <v>0.527783194776238</v>
      </c>
      <c r="T132" s="26" t="n">
        <f aca="false">INDEX($B$13:$B$25,MATCH(E132,$A$13:$A$25,0))</f>
        <v>0.7</v>
      </c>
      <c r="U132" s="18" t="n">
        <f aca="false">SUM(K132:O132)/(1-T132-Assumptions!$B$34*Assumptions!$B$35*(1+H132*$B$5))</f>
        <v>349.635240295827</v>
      </c>
      <c r="V132" s="18" t="n">
        <f aca="false">MROUND(U132*(1+H132*$B$5),$B$6)</f>
        <v>420</v>
      </c>
      <c r="W132" s="26" t="n">
        <f aca="false">IF(I132=0,0,V132/I132-1)</f>
        <v>0.615384615384615</v>
      </c>
      <c r="X132" s="29" t="n">
        <f aca="false">MROUND(V132*3*(1-$B$7),$B$6)</f>
        <v>1134</v>
      </c>
      <c r="Y132" s="29" t="n">
        <f aca="false">MROUND(V132*6*(1-$B$8),$B$6)</f>
        <v>2142</v>
      </c>
      <c r="Z132" s="29" t="n">
        <f aca="false">MROUND(V132*10*(1-$B$9),$B$6)</f>
        <v>3360</v>
      </c>
      <c r="AC132" s="25" t="n">
        <f aca="false">IF(OR(D132="ACTIVE",D132="CONSULTATION"),1,0)</f>
        <v>1</v>
      </c>
    </row>
    <row r="133" customFormat="false" ht="15" hidden="false" customHeight="false" outlineLevel="0" collapsed="false">
      <c r="A133" s="6" t="s">
        <v>383</v>
      </c>
      <c r="B133" s="6" t="s">
        <v>336</v>
      </c>
      <c r="C133" s="2" t="s">
        <v>280</v>
      </c>
      <c r="D133" s="2" t="s">
        <v>320</v>
      </c>
      <c r="E133" s="2" t="s">
        <v>162</v>
      </c>
      <c r="F133" s="25" t="n">
        <v>30</v>
      </c>
      <c r="G133" s="25" t="n">
        <v>30</v>
      </c>
      <c r="H133" s="26" t="n">
        <v>0.2</v>
      </c>
      <c r="I133" s="18" t="n">
        <v>150</v>
      </c>
      <c r="J133" s="18" t="n">
        <f aca="false">I133/(1+H133*$B$5)</f>
        <v>125</v>
      </c>
      <c r="K133" s="27" t="n">
        <v>2</v>
      </c>
      <c r="L133" s="18" t="n">
        <f aca="false">G133/60*Machinery!$H$6*Assumptions!$B$23/100</f>
        <v>0.108</v>
      </c>
      <c r="M133" s="18" t="n">
        <f aca="false">G133/60*Machinery!$K$6</f>
        <v>4.16666666666667</v>
      </c>
      <c r="N133" s="18" t="n">
        <f aca="false">G133/60*Machinery!$L$6</f>
        <v>7.8125</v>
      </c>
      <c r="O133" s="18" t="n">
        <f aca="false">F133/60*Assumptions!$B$20</f>
        <v>17.231884057971</v>
      </c>
      <c r="P133" s="18" t="n">
        <f aca="false">I133*Assumptions!$B$34*Assumptions!$B$35</f>
        <v>2.4225</v>
      </c>
      <c r="Q133" s="18" t="n">
        <f aca="false">SUM(K133:P133)</f>
        <v>33.7415507246377</v>
      </c>
      <c r="R133" s="18" t="n">
        <f aca="false">J133-Q133</f>
        <v>91.2584492753623</v>
      </c>
      <c r="S133" s="28" t="n">
        <f aca="false">IF(J133=0,0,R133/J133)</f>
        <v>0.730067594202899</v>
      </c>
      <c r="T133" s="26" t="n">
        <f aca="false">INDEX($B$13:$B$25,MATCH(E133,$A$13:$A$25,0))</f>
        <v>0.7</v>
      </c>
      <c r="U133" s="18" t="n">
        <f aca="false">SUM(K133:O133)/(1-T133-Assumptions!$B$34*Assumptions!$B$35*(1+H133*$B$5))</f>
        <v>111.606623635656</v>
      </c>
      <c r="V133" s="18" t="n">
        <f aca="false">MROUND(U133*(1+H133*$B$5),$B$6)</f>
        <v>134</v>
      </c>
      <c r="W133" s="26" t="n">
        <f aca="false">IF(I133=0,0,V133/I133-1)</f>
        <v>-0.106666666666667</v>
      </c>
      <c r="X133" s="29" t="n">
        <f aca="false">MROUND(V133*3*(1-$B$7),$B$6)</f>
        <v>362</v>
      </c>
      <c r="Y133" s="29" t="n">
        <f aca="false">MROUND(V133*6*(1-$B$8),$B$6)</f>
        <v>683</v>
      </c>
      <c r="Z133" s="29" t="n">
        <f aca="false">MROUND(V133*10*(1-$B$9),$B$6)</f>
        <v>1072</v>
      </c>
      <c r="AC133" s="25" t="n">
        <f aca="false">IF(OR(D133="ACTIVE",D133="CONSULTATION"),1,0)</f>
        <v>1</v>
      </c>
    </row>
    <row r="134" customFormat="false" ht="15" hidden="false" customHeight="false" outlineLevel="0" collapsed="false">
      <c r="A134" s="6" t="s">
        <v>383</v>
      </c>
      <c r="B134" s="6" t="s">
        <v>345</v>
      </c>
      <c r="C134" s="2" t="s">
        <v>280</v>
      </c>
      <c r="D134" s="2" t="s">
        <v>320</v>
      </c>
      <c r="E134" s="2" t="s">
        <v>162</v>
      </c>
      <c r="F134" s="25" t="n">
        <v>30</v>
      </c>
      <c r="G134" s="25" t="n">
        <v>30</v>
      </c>
      <c r="H134" s="26" t="n">
        <v>0.2</v>
      </c>
      <c r="I134" s="18" t="n">
        <v>210</v>
      </c>
      <c r="J134" s="18" t="n">
        <f aca="false">I134/(1+H134*$B$5)</f>
        <v>175</v>
      </c>
      <c r="K134" s="27" t="n">
        <v>2</v>
      </c>
      <c r="L134" s="18" t="n">
        <f aca="false">G134/60*Machinery!$H$6*Assumptions!$B$23/100</f>
        <v>0.108</v>
      </c>
      <c r="M134" s="18" t="n">
        <f aca="false">G134/60*Machinery!$K$6</f>
        <v>4.16666666666667</v>
      </c>
      <c r="N134" s="18" t="n">
        <f aca="false">G134/60*Machinery!$L$6</f>
        <v>7.8125</v>
      </c>
      <c r="O134" s="18" t="n">
        <f aca="false">F134/60*Assumptions!$B$20</f>
        <v>17.231884057971</v>
      </c>
      <c r="P134" s="18" t="n">
        <f aca="false">I134*Assumptions!$B$34*Assumptions!$B$35</f>
        <v>3.3915</v>
      </c>
      <c r="Q134" s="18" t="n">
        <f aca="false">SUM(K134:P134)</f>
        <v>34.7105507246377</v>
      </c>
      <c r="R134" s="18" t="n">
        <f aca="false">J134-Q134</f>
        <v>140.289449275362</v>
      </c>
      <c r="S134" s="28" t="n">
        <f aca="false">IF(J134=0,0,R134/J134)</f>
        <v>0.801653995859213</v>
      </c>
      <c r="T134" s="26" t="n">
        <f aca="false">INDEX($B$13:$B$25,MATCH(E134,$A$13:$A$25,0))</f>
        <v>0.7</v>
      </c>
      <c r="U134" s="18" t="n">
        <f aca="false">SUM(K134:O134)/(1-T134-Assumptions!$B$34*Assumptions!$B$35*(1+H134*$B$5))</f>
        <v>111.606623635656</v>
      </c>
      <c r="V134" s="18" t="n">
        <f aca="false">MROUND(U134*(1+H134*$B$5),$B$6)</f>
        <v>134</v>
      </c>
      <c r="W134" s="26" t="n">
        <f aca="false">IF(I134=0,0,V134/I134-1)</f>
        <v>-0.361904761904762</v>
      </c>
      <c r="X134" s="29" t="n">
        <f aca="false">MROUND(V134*3*(1-$B$7),$B$6)</f>
        <v>362</v>
      </c>
      <c r="Y134" s="29" t="n">
        <f aca="false">MROUND(V134*6*(1-$B$8),$B$6)</f>
        <v>683</v>
      </c>
      <c r="Z134" s="29" t="n">
        <f aca="false">MROUND(V134*10*(1-$B$9),$B$6)</f>
        <v>1072</v>
      </c>
      <c r="AC134" s="25" t="n">
        <f aca="false">IF(OR(D134="ACTIVE",D134="CONSULTATION"),1,0)</f>
        <v>1</v>
      </c>
    </row>
    <row r="135" customFormat="false" ht="15" hidden="false" customHeight="false" outlineLevel="0" collapsed="false">
      <c r="A135" s="6" t="s">
        <v>384</v>
      </c>
      <c r="B135" s="6" t="s">
        <v>345</v>
      </c>
      <c r="C135" s="2" t="s">
        <v>280</v>
      </c>
      <c r="D135" s="2" t="s">
        <v>320</v>
      </c>
      <c r="E135" s="2" t="s">
        <v>162</v>
      </c>
      <c r="F135" s="25" t="n">
        <v>45</v>
      </c>
      <c r="G135" s="25" t="n">
        <v>45</v>
      </c>
      <c r="H135" s="26" t="n">
        <v>0.2</v>
      </c>
      <c r="I135" s="18" t="n">
        <v>210</v>
      </c>
      <c r="J135" s="18" t="n">
        <f aca="false">I135/(1+H135*$B$5)</f>
        <v>175</v>
      </c>
      <c r="K135" s="27" t="n">
        <v>2</v>
      </c>
      <c r="L135" s="18" t="n">
        <f aca="false">G135/60*Machinery!$H$6*Assumptions!$B$23/100</f>
        <v>0.162</v>
      </c>
      <c r="M135" s="18" t="n">
        <f aca="false">G135/60*Machinery!$K$6</f>
        <v>6.25</v>
      </c>
      <c r="N135" s="18" t="n">
        <f aca="false">G135/60*Machinery!$L$6</f>
        <v>11.71875</v>
      </c>
      <c r="O135" s="18" t="n">
        <f aca="false">F135/60*Assumptions!$B$20</f>
        <v>25.8478260869565</v>
      </c>
      <c r="P135" s="18" t="n">
        <f aca="false">I135*Assumptions!$B$34*Assumptions!$B$35</f>
        <v>3.3915</v>
      </c>
      <c r="Q135" s="18" t="n">
        <f aca="false">SUM(K135:P135)</f>
        <v>49.3700760869565</v>
      </c>
      <c r="R135" s="18" t="n">
        <f aca="false">J135-Q135</f>
        <v>125.629923913043</v>
      </c>
      <c r="S135" s="28" t="n">
        <f aca="false">IF(J135=0,0,R135/J135)</f>
        <v>0.717885279503106</v>
      </c>
      <c r="T135" s="26" t="n">
        <f aca="false">INDEX($B$13:$B$25,MATCH(E135,$A$13:$A$25,0))</f>
        <v>0.7</v>
      </c>
      <c r="U135" s="18" t="n">
        <f aca="false">SUM(K135:O135)/(1-T135-Assumptions!$B$34*Assumptions!$B$35*(1+H135*$B$5))</f>
        <v>163.846397573076</v>
      </c>
      <c r="V135" s="18" t="n">
        <f aca="false">MROUND(U135*(1+H135*$B$5),$B$6)</f>
        <v>197</v>
      </c>
      <c r="W135" s="26" t="n">
        <f aca="false">IF(I135=0,0,V135/I135-1)</f>
        <v>-0.0619047619047619</v>
      </c>
      <c r="X135" s="29" t="n">
        <f aca="false">MROUND(V135*3*(1-$B$7),$B$6)</f>
        <v>532</v>
      </c>
      <c r="Y135" s="29" t="n">
        <f aca="false">MROUND(V135*6*(1-$B$8),$B$6)</f>
        <v>1005</v>
      </c>
      <c r="Z135" s="29" t="n">
        <f aca="false">MROUND(V135*10*(1-$B$9),$B$6)</f>
        <v>1576</v>
      </c>
      <c r="AC135" s="25" t="n">
        <f aca="false">IF(OR(D135="ACTIVE",D135="CONSULTATION"),1,0)</f>
        <v>1</v>
      </c>
    </row>
    <row r="136" customFormat="false" ht="15" hidden="false" customHeight="false" outlineLevel="0" collapsed="false">
      <c r="A136" s="6" t="s">
        <v>384</v>
      </c>
      <c r="B136" s="6" t="s">
        <v>336</v>
      </c>
      <c r="C136" s="2" t="s">
        <v>280</v>
      </c>
      <c r="D136" s="2" t="s">
        <v>320</v>
      </c>
      <c r="E136" s="2" t="s">
        <v>162</v>
      </c>
      <c r="F136" s="25" t="n">
        <v>40</v>
      </c>
      <c r="G136" s="25" t="n">
        <v>40</v>
      </c>
      <c r="H136" s="26" t="n">
        <v>0.2</v>
      </c>
      <c r="I136" s="18" t="n">
        <v>150</v>
      </c>
      <c r="J136" s="18" t="n">
        <f aca="false">I136/(1+H136*$B$5)</f>
        <v>125</v>
      </c>
      <c r="K136" s="27" t="n">
        <v>2</v>
      </c>
      <c r="L136" s="18" t="n">
        <f aca="false">G136/60*Machinery!$H$6*Assumptions!$B$23/100</f>
        <v>0.144</v>
      </c>
      <c r="M136" s="18" t="n">
        <f aca="false">G136/60*Machinery!$K$6</f>
        <v>5.55555555555556</v>
      </c>
      <c r="N136" s="18" t="n">
        <f aca="false">G136/60*Machinery!$L$6</f>
        <v>10.4166666666667</v>
      </c>
      <c r="O136" s="18" t="n">
        <f aca="false">F136/60*Assumptions!$B$20</f>
        <v>22.975845410628</v>
      </c>
      <c r="P136" s="18" t="n">
        <f aca="false">I136*Assumptions!$B$34*Assumptions!$B$35</f>
        <v>2.4225</v>
      </c>
      <c r="Q136" s="18" t="n">
        <f aca="false">SUM(K136:P136)</f>
        <v>43.5145676328502</v>
      </c>
      <c r="R136" s="18" t="n">
        <f aca="false">J136-Q136</f>
        <v>81.4854323671498</v>
      </c>
      <c r="S136" s="28" t="n">
        <f aca="false">IF(J136=0,0,R136/J136)</f>
        <v>0.651883458937198</v>
      </c>
      <c r="T136" s="26" t="n">
        <f aca="false">INDEX($B$13:$B$25,MATCH(E136,$A$13:$A$25,0))</f>
        <v>0.7</v>
      </c>
      <c r="U136" s="18" t="n">
        <f aca="false">SUM(K136:O136)/(1-T136-Assumptions!$B$34*Assumptions!$B$35*(1+H136*$B$5))</f>
        <v>146.433139593936</v>
      </c>
      <c r="V136" s="18" t="n">
        <f aca="false">MROUND(U136*(1+H136*$B$5),$B$6)</f>
        <v>176</v>
      </c>
      <c r="W136" s="26" t="n">
        <f aca="false">IF(I136=0,0,V136/I136-1)</f>
        <v>0.173333333333333</v>
      </c>
      <c r="X136" s="29" t="n">
        <f aca="false">MROUND(V136*3*(1-$B$7),$B$6)</f>
        <v>475</v>
      </c>
      <c r="Y136" s="29" t="n">
        <f aca="false">MROUND(V136*6*(1-$B$8),$B$6)</f>
        <v>898</v>
      </c>
      <c r="Z136" s="29" t="n">
        <f aca="false">MROUND(V136*10*(1-$B$9),$B$6)</f>
        <v>1408</v>
      </c>
      <c r="AC136" s="25" t="n">
        <f aca="false">IF(OR(D136="ACTIVE",D136="CONSULTATION"),1,0)</f>
        <v>1</v>
      </c>
    </row>
    <row r="137" customFormat="false" ht="15" hidden="false" customHeight="false" outlineLevel="0" collapsed="false">
      <c r="A137" s="6" t="s">
        <v>385</v>
      </c>
      <c r="B137" s="6" t="s">
        <v>385</v>
      </c>
      <c r="C137" s="2" t="s">
        <v>280</v>
      </c>
      <c r="D137" s="2" t="s">
        <v>320</v>
      </c>
      <c r="E137" s="2" t="s">
        <v>162</v>
      </c>
      <c r="F137" s="25" t="n">
        <v>60</v>
      </c>
      <c r="G137" s="25" t="n">
        <v>60</v>
      </c>
      <c r="H137" s="26" t="n">
        <v>0.2</v>
      </c>
      <c r="I137" s="18" t="n">
        <v>180</v>
      </c>
      <c r="J137" s="18" t="n">
        <f aca="false">I137/(1+H137*$B$5)</f>
        <v>150</v>
      </c>
      <c r="K137" s="27" t="n">
        <v>2</v>
      </c>
      <c r="L137" s="18" t="n">
        <f aca="false">G137/60*Machinery!$H$6*Assumptions!$B$23/100</f>
        <v>0.216</v>
      </c>
      <c r="M137" s="18" t="n">
        <f aca="false">G137/60*Machinery!$K$6</f>
        <v>8.33333333333333</v>
      </c>
      <c r="N137" s="18" t="n">
        <f aca="false">G137/60*Machinery!$L$6</f>
        <v>15.625</v>
      </c>
      <c r="O137" s="18" t="n">
        <f aca="false">F137/60*Assumptions!$B$20</f>
        <v>34.463768115942</v>
      </c>
      <c r="P137" s="18" t="n">
        <f aca="false">I137*Assumptions!$B$34*Assumptions!$B$35</f>
        <v>2.907</v>
      </c>
      <c r="Q137" s="18" t="n">
        <f aca="false">SUM(K137:P137)</f>
        <v>63.5451014492754</v>
      </c>
      <c r="R137" s="18" t="n">
        <f aca="false">J137-Q137</f>
        <v>86.4548985507246</v>
      </c>
      <c r="S137" s="28" t="n">
        <f aca="false">IF(J137=0,0,R137/J137)</f>
        <v>0.576365990338164</v>
      </c>
      <c r="T137" s="26" t="n">
        <f aca="false">INDEX($B$13:$B$25,MATCH(E137,$A$13:$A$25,0))</f>
        <v>0.7</v>
      </c>
      <c r="U137" s="18" t="n">
        <f aca="false">SUM(K137:O137)/(1-T137-Assumptions!$B$34*Assumptions!$B$35*(1+H137*$B$5))</f>
        <v>216.086171510496</v>
      </c>
      <c r="V137" s="18" t="n">
        <f aca="false">MROUND(U137*(1+H137*$B$5),$B$6)</f>
        <v>259</v>
      </c>
      <c r="W137" s="26" t="n">
        <f aca="false">IF(I137=0,0,V137/I137-1)</f>
        <v>0.438888888888889</v>
      </c>
      <c r="X137" s="29" t="n">
        <f aca="false">MROUND(V137*3*(1-$B$7),$B$6)</f>
        <v>699</v>
      </c>
      <c r="Y137" s="29" t="n">
        <f aca="false">MROUND(V137*6*(1-$B$8),$B$6)</f>
        <v>1321</v>
      </c>
      <c r="Z137" s="29" t="n">
        <f aca="false">MROUND(V137*10*(1-$B$9),$B$6)</f>
        <v>2072</v>
      </c>
      <c r="AC137" s="25" t="n">
        <f aca="false">IF(OR(D137="ACTIVE",D137="CONSULTATION"),1,0)</f>
        <v>1</v>
      </c>
    </row>
    <row r="138" customFormat="false" ht="15" hidden="false" customHeight="false" outlineLevel="0" collapsed="false">
      <c r="A138" s="6" t="s">
        <v>386</v>
      </c>
      <c r="B138" s="6" t="s">
        <v>387</v>
      </c>
      <c r="C138" s="2" t="s">
        <v>280</v>
      </c>
      <c r="D138" s="2" t="s">
        <v>320</v>
      </c>
      <c r="E138" s="2" t="s">
        <v>191</v>
      </c>
      <c r="F138" s="25" t="n">
        <v>35</v>
      </c>
      <c r="G138" s="25" t="n">
        <v>35</v>
      </c>
      <c r="H138" s="26" t="n">
        <v>0.2</v>
      </c>
      <c r="I138" s="18" t="n">
        <v>75</v>
      </c>
      <c r="J138" s="18" t="n">
        <f aca="false">I138/(1+H138*$B$5)</f>
        <v>62.5</v>
      </c>
      <c r="K138" s="27" t="n">
        <v>2</v>
      </c>
      <c r="L138" s="18" t="n">
        <f aca="false">G138/60*Machinery!$H$12*Assumptions!$B$23/100</f>
        <v>0.055125</v>
      </c>
      <c r="M138" s="18" t="n">
        <f aca="false">G138/60*Machinery!$K$12</f>
        <v>1.89043209876543</v>
      </c>
      <c r="N138" s="18" t="n">
        <f aca="false">G138/60*Machinery!$L$12</f>
        <v>4.16666666666667</v>
      </c>
      <c r="O138" s="18" t="n">
        <f aca="false">F138/60*Assumptions!$B$20</f>
        <v>20.1038647342995</v>
      </c>
      <c r="P138" s="18" t="n">
        <f aca="false">I138*Assumptions!$B$34*Assumptions!$B$35</f>
        <v>1.21125</v>
      </c>
      <c r="Q138" s="18" t="n">
        <f aca="false">SUM(K138:P138)</f>
        <v>29.4273384997316</v>
      </c>
      <c r="R138" s="18" t="n">
        <f aca="false">J138-Q138</f>
        <v>33.0726615002684</v>
      </c>
      <c r="S138" s="28" t="n">
        <f aca="false">IF(J138=0,0,R138/J138)</f>
        <v>0.529162584004294</v>
      </c>
      <c r="T138" s="26" t="n">
        <f aca="false">INDEX($B$13:$B$25,MATCH(E138,$A$13:$A$25,0))</f>
        <v>0.7</v>
      </c>
      <c r="U138" s="18" t="n">
        <f aca="false">SUM(K138:O138)/(1-T138-Assumptions!$B$34*Assumptions!$B$35*(1+H138*$B$5))</f>
        <v>100.549100205729</v>
      </c>
      <c r="V138" s="18" t="n">
        <f aca="false">MROUND(U138*(1+H138*$B$5),$B$6)</f>
        <v>121</v>
      </c>
      <c r="W138" s="26" t="n">
        <f aca="false">IF(I138=0,0,V138/I138-1)</f>
        <v>0.613333333333333</v>
      </c>
      <c r="X138" s="29" t="n">
        <f aca="false">MROUND(V138*3*(1-$B$7),$B$6)</f>
        <v>327</v>
      </c>
      <c r="Y138" s="29" t="n">
        <f aca="false">MROUND(V138*6*(1-$B$8),$B$6)</f>
        <v>617</v>
      </c>
      <c r="Z138" s="29" t="n">
        <f aca="false">MROUND(V138*10*(1-$B$9),$B$6)</f>
        <v>968</v>
      </c>
      <c r="AC138" s="25" t="n">
        <f aca="false">IF(OR(D138="ACTIVE",D138="CONSULTATION"),1,0)</f>
        <v>1</v>
      </c>
    </row>
    <row r="139" customFormat="false" ht="15" hidden="false" customHeight="false" outlineLevel="0" collapsed="false">
      <c r="A139" s="6" t="s">
        <v>386</v>
      </c>
      <c r="B139" s="6" t="s">
        <v>388</v>
      </c>
      <c r="C139" s="2" t="s">
        <v>280</v>
      </c>
      <c r="D139" s="2" t="s">
        <v>320</v>
      </c>
      <c r="E139" s="2" t="s">
        <v>191</v>
      </c>
      <c r="F139" s="25" t="n">
        <v>45</v>
      </c>
      <c r="G139" s="25" t="n">
        <v>45</v>
      </c>
      <c r="H139" s="26" t="n">
        <v>0.2</v>
      </c>
      <c r="I139" s="18" t="n">
        <v>105</v>
      </c>
      <c r="J139" s="18" t="n">
        <f aca="false">I139/(1+H139*$B$5)</f>
        <v>87.5</v>
      </c>
      <c r="K139" s="27" t="n">
        <v>2</v>
      </c>
      <c r="L139" s="18" t="n">
        <f aca="false">G139/60*Machinery!$H$12*Assumptions!$B$23/100</f>
        <v>0.070875</v>
      </c>
      <c r="M139" s="18" t="n">
        <f aca="false">G139/60*Machinery!$K$12</f>
        <v>2.43055555555556</v>
      </c>
      <c r="N139" s="18" t="n">
        <f aca="false">G139/60*Machinery!$L$12</f>
        <v>5.35714285714286</v>
      </c>
      <c r="O139" s="18" t="n">
        <f aca="false">F139/60*Assumptions!$B$20</f>
        <v>25.8478260869565</v>
      </c>
      <c r="P139" s="18" t="n">
        <f aca="false">I139*Assumptions!$B$34*Assumptions!$B$35</f>
        <v>1.69575</v>
      </c>
      <c r="Q139" s="18" t="n">
        <f aca="false">SUM(K139:P139)</f>
        <v>37.4021494996549</v>
      </c>
      <c r="R139" s="18" t="n">
        <f aca="false">J139-Q139</f>
        <v>50.0978505003451</v>
      </c>
      <c r="S139" s="28" t="n">
        <f aca="false">IF(J139=0,0,R139/J139)</f>
        <v>0.572546862861087</v>
      </c>
      <c r="T139" s="26" t="n">
        <f aca="false">INDEX($B$13:$B$25,MATCH(E139,$A$13:$A$25,0))</f>
        <v>0.7</v>
      </c>
      <c r="U139" s="18" t="n">
        <f aca="false">SUM(K139:O139)/(1-T139-Assumptions!$B$34*Assumptions!$B$35*(1+H139*$B$5))</f>
        <v>127.24110718999</v>
      </c>
      <c r="V139" s="18" t="n">
        <f aca="false">MROUND(U139*(1+H139*$B$5),$B$6)</f>
        <v>153</v>
      </c>
      <c r="W139" s="26" t="n">
        <f aca="false">IF(I139=0,0,V139/I139-1)</f>
        <v>0.457142857142857</v>
      </c>
      <c r="X139" s="29" t="n">
        <f aca="false">MROUND(V139*3*(1-$B$7),$B$6)</f>
        <v>413</v>
      </c>
      <c r="Y139" s="29" t="n">
        <f aca="false">MROUND(V139*6*(1-$B$8),$B$6)</f>
        <v>780</v>
      </c>
      <c r="Z139" s="29" t="n">
        <f aca="false">MROUND(V139*10*(1-$B$9),$B$6)</f>
        <v>1224</v>
      </c>
      <c r="AC139" s="25" t="n">
        <f aca="false">IF(OR(D139="ACTIVE",D139="CONSULTATION"),1,0)</f>
        <v>1</v>
      </c>
    </row>
    <row r="140" customFormat="false" ht="15" hidden="false" customHeight="false" outlineLevel="0" collapsed="false">
      <c r="A140" s="6" t="s">
        <v>386</v>
      </c>
      <c r="B140" s="6" t="s">
        <v>389</v>
      </c>
      <c r="C140" s="2" t="s">
        <v>280</v>
      </c>
      <c r="D140" s="2" t="s">
        <v>320</v>
      </c>
      <c r="E140" s="2" t="s">
        <v>191</v>
      </c>
      <c r="F140" s="25" t="n">
        <v>60</v>
      </c>
      <c r="G140" s="25" t="n">
        <v>60</v>
      </c>
      <c r="H140" s="26" t="n">
        <v>0.2</v>
      </c>
      <c r="I140" s="18" t="n">
        <v>120</v>
      </c>
      <c r="J140" s="18" t="n">
        <f aca="false">I140/(1+H140*$B$5)</f>
        <v>100</v>
      </c>
      <c r="K140" s="27" t="n">
        <v>2</v>
      </c>
      <c r="L140" s="18" t="n">
        <f aca="false">G140/60*Machinery!$H$12*Assumptions!$B$23/100</f>
        <v>0.0945</v>
      </c>
      <c r="M140" s="18" t="n">
        <f aca="false">G140/60*Machinery!$K$12</f>
        <v>3.24074074074074</v>
      </c>
      <c r="N140" s="18" t="n">
        <f aca="false">G140/60*Machinery!$L$12</f>
        <v>7.14285714285714</v>
      </c>
      <c r="O140" s="18" t="n">
        <f aca="false">F140/60*Assumptions!$B$20</f>
        <v>34.463768115942</v>
      </c>
      <c r="P140" s="18" t="n">
        <f aca="false">I140*Assumptions!$B$34*Assumptions!$B$35</f>
        <v>1.938</v>
      </c>
      <c r="Q140" s="18" t="n">
        <f aca="false">SUM(K140:P140)</f>
        <v>48.8798659995399</v>
      </c>
      <c r="R140" s="18" t="n">
        <f aca="false">J140-Q140</f>
        <v>51.1201340004601</v>
      </c>
      <c r="S140" s="28" t="n">
        <f aca="false">IF(J140=0,0,R140/J140)</f>
        <v>0.511201340004601</v>
      </c>
      <c r="T140" s="26" t="n">
        <f aca="false">INDEX($B$13:$B$25,MATCH(E140,$A$13:$A$25,0))</f>
        <v>0.7</v>
      </c>
      <c r="U140" s="18" t="n">
        <f aca="false">SUM(K140:O140)/(1-T140-Assumptions!$B$34*Assumptions!$B$35*(1+H140*$B$5))</f>
        <v>167.279117666381</v>
      </c>
      <c r="V140" s="18" t="n">
        <f aca="false">MROUND(U140*(1+H140*$B$5),$B$6)</f>
        <v>201</v>
      </c>
      <c r="W140" s="26" t="n">
        <f aca="false">IF(I140=0,0,V140/I140-1)</f>
        <v>0.675</v>
      </c>
      <c r="X140" s="29" t="n">
        <f aca="false">MROUND(V140*3*(1-$B$7),$B$6)</f>
        <v>543</v>
      </c>
      <c r="Y140" s="29" t="n">
        <f aca="false">MROUND(V140*6*(1-$B$8),$B$6)</f>
        <v>1025</v>
      </c>
      <c r="Z140" s="29" t="n">
        <f aca="false">MROUND(V140*10*(1-$B$9),$B$6)</f>
        <v>1608</v>
      </c>
      <c r="AC140" s="25" t="n">
        <f aca="false">IF(OR(D140="ACTIVE",D140="CONSULTATION"),1,0)</f>
        <v>1</v>
      </c>
    </row>
    <row r="141" customFormat="false" ht="15" hidden="false" customHeight="false" outlineLevel="0" collapsed="false">
      <c r="A141" s="6" t="s">
        <v>386</v>
      </c>
      <c r="B141" s="6" t="s">
        <v>390</v>
      </c>
      <c r="C141" s="2" t="s">
        <v>280</v>
      </c>
      <c r="D141" s="2" t="s">
        <v>320</v>
      </c>
      <c r="E141" s="2" t="s">
        <v>191</v>
      </c>
      <c r="F141" s="25" t="n">
        <v>60</v>
      </c>
      <c r="G141" s="25" t="n">
        <v>60</v>
      </c>
      <c r="H141" s="26" t="n">
        <v>0.2</v>
      </c>
      <c r="I141" s="18" t="n">
        <v>125</v>
      </c>
      <c r="J141" s="18" t="n">
        <f aca="false">I141/(1+H141*$B$5)</f>
        <v>104.166666666667</v>
      </c>
      <c r="K141" s="27" t="n">
        <v>2.5</v>
      </c>
      <c r="L141" s="18" t="n">
        <f aca="false">G141/60*Machinery!$H$12*Assumptions!$B$23/100</f>
        <v>0.0945</v>
      </c>
      <c r="M141" s="18" t="n">
        <f aca="false">G141/60*Machinery!$K$12</f>
        <v>3.24074074074074</v>
      </c>
      <c r="N141" s="18" t="n">
        <f aca="false">G141/60*Machinery!$L$12</f>
        <v>7.14285714285714</v>
      </c>
      <c r="O141" s="18" t="n">
        <f aca="false">F141/60*Assumptions!$B$20</f>
        <v>34.463768115942</v>
      </c>
      <c r="P141" s="18" t="n">
        <f aca="false">I141*Assumptions!$B$34*Assumptions!$B$35</f>
        <v>2.01875</v>
      </c>
      <c r="Q141" s="18" t="n">
        <f aca="false">SUM(K141:P141)</f>
        <v>49.4606159995399</v>
      </c>
      <c r="R141" s="18" t="n">
        <f aca="false">J141-Q141</f>
        <v>54.7060506671268</v>
      </c>
      <c r="S141" s="28" t="n">
        <f aca="false">IF(J141=0,0,R141/J141)</f>
        <v>0.525178086404417</v>
      </c>
      <c r="T141" s="26" t="n">
        <f aca="false">INDEX($B$13:$B$25,MATCH(E141,$A$13:$A$25,0))</f>
        <v>0.7</v>
      </c>
      <c r="U141" s="18" t="n">
        <f aca="false">SUM(K141:O141)/(1-T141-Assumptions!$B$34*Assumptions!$B$35*(1+H141*$B$5))</f>
        <v>169.060886606585</v>
      </c>
      <c r="V141" s="18" t="n">
        <f aca="false">MROUND(U141*(1+H141*$B$5),$B$6)</f>
        <v>203</v>
      </c>
      <c r="W141" s="26" t="n">
        <f aca="false">IF(I141=0,0,V141/I141-1)</f>
        <v>0.624</v>
      </c>
      <c r="X141" s="29" t="n">
        <f aca="false">MROUND(V141*3*(1-$B$7),$B$6)</f>
        <v>548</v>
      </c>
      <c r="Y141" s="29" t="n">
        <f aca="false">MROUND(V141*6*(1-$B$8),$B$6)</f>
        <v>1035</v>
      </c>
      <c r="Z141" s="29" t="n">
        <f aca="false">MROUND(V141*10*(1-$B$9),$B$6)</f>
        <v>1624</v>
      </c>
      <c r="AC141" s="25" t="n">
        <f aca="false">IF(OR(D141="ACTIVE",D141="CONSULTATION"),1,0)</f>
        <v>1</v>
      </c>
    </row>
    <row r="142" customFormat="false" ht="15" hidden="false" customHeight="false" outlineLevel="0" collapsed="false">
      <c r="A142" s="6" t="s">
        <v>391</v>
      </c>
      <c r="B142" s="6" t="s">
        <v>392</v>
      </c>
      <c r="C142" s="2" t="s">
        <v>280</v>
      </c>
      <c r="D142" s="30" t="s">
        <v>344</v>
      </c>
      <c r="E142" s="2" t="s">
        <v>205</v>
      </c>
      <c r="F142" s="25" t="n">
        <v>70</v>
      </c>
      <c r="G142" s="25" t="n">
        <v>70</v>
      </c>
      <c r="H142" s="26" t="n">
        <v>0.2</v>
      </c>
      <c r="I142" s="18" t="n">
        <v>140</v>
      </c>
      <c r="J142" s="18" t="n">
        <f aca="false">I142/(1+H142*$B$5)</f>
        <v>116.666666666667</v>
      </c>
      <c r="K142" s="27" t="n">
        <v>4</v>
      </c>
      <c r="L142" s="18" t="n">
        <f aca="false">G142/60*Machinery!$H$15*Assumptions!$B$23/100</f>
        <v>0.0315</v>
      </c>
      <c r="M142" s="18" t="n">
        <f aca="false">G142/60*Machinery!$K$15</f>
        <v>2.91666666666667</v>
      </c>
      <c r="N142" s="18" t="n">
        <f aca="false">G142/60*Machinery!$L$15</f>
        <v>7.29166666666667</v>
      </c>
      <c r="O142" s="18" t="n">
        <f aca="false">F142/60*Assumptions!$B$20</f>
        <v>40.207729468599</v>
      </c>
      <c r="P142" s="18" t="n">
        <f aca="false">I142*Assumptions!$B$34*Assumptions!$B$35</f>
        <v>2.261</v>
      </c>
      <c r="Q142" s="18" t="n">
        <f aca="false">SUM(K142:P142)</f>
        <v>56.7085628019324</v>
      </c>
      <c r="R142" s="18" t="n">
        <f aca="false">J142-Q142</f>
        <v>59.9581038647343</v>
      </c>
      <c r="S142" s="28" t="n">
        <f aca="false">IF(J142=0,0,R142/J142)</f>
        <v>0.513926604554865</v>
      </c>
      <c r="T142" s="26" t="n">
        <f aca="false">INDEX($B$13:$B$25,MATCH(E142,$A$13:$A$25,0))</f>
        <v>0.7</v>
      </c>
      <c r="U142" s="18" t="n">
        <f aca="false">SUM(K142:O142)/(1-T142-Assumptions!$B$34*Assumptions!$B$35*(1+H142*$B$5))</f>
        <v>194.025952540562</v>
      </c>
      <c r="V142" s="18" t="n">
        <f aca="false">MROUND(U142*(1+H142*$B$5),$B$6)</f>
        <v>233</v>
      </c>
      <c r="W142" s="26" t="n">
        <f aca="false">IF(I142=0,0,V142/I142-1)</f>
        <v>0.664285714285714</v>
      </c>
      <c r="X142" s="29" t="n">
        <f aca="false">MROUND(V142*3*(1-$B$7),$B$6)</f>
        <v>629</v>
      </c>
      <c r="Y142" s="29" t="n">
        <f aca="false">MROUND(V142*6*(1-$B$8),$B$6)</f>
        <v>1188</v>
      </c>
      <c r="Z142" s="29" t="n">
        <f aca="false">MROUND(V142*10*(1-$B$9),$B$6)</f>
        <v>1864</v>
      </c>
      <c r="AC142" s="25" t="n">
        <f aca="false">IF(OR(D142="ACTIVE",D142="CONSULTATION"),1,0)</f>
        <v>0</v>
      </c>
    </row>
    <row r="143" customFormat="false" ht="15" hidden="false" customHeight="false" outlineLevel="0" collapsed="false">
      <c r="A143" s="6" t="s">
        <v>391</v>
      </c>
      <c r="B143" s="6" t="s">
        <v>393</v>
      </c>
      <c r="C143" s="2" t="s">
        <v>280</v>
      </c>
      <c r="D143" s="30" t="s">
        <v>344</v>
      </c>
      <c r="E143" s="2" t="s">
        <v>205</v>
      </c>
      <c r="F143" s="25" t="n">
        <v>70</v>
      </c>
      <c r="G143" s="25" t="n">
        <v>70</v>
      </c>
      <c r="H143" s="26" t="n">
        <v>0.2</v>
      </c>
      <c r="I143" s="18" t="n">
        <v>150</v>
      </c>
      <c r="J143" s="18" t="n">
        <f aca="false">I143/(1+H143*$B$5)</f>
        <v>125</v>
      </c>
      <c r="K143" s="27" t="n">
        <v>8</v>
      </c>
      <c r="L143" s="18" t="n">
        <f aca="false">G143/60*Machinery!$H$15*Assumptions!$B$23/100</f>
        <v>0.0315</v>
      </c>
      <c r="M143" s="18" t="n">
        <f aca="false">G143/60*Machinery!$K$15</f>
        <v>2.91666666666667</v>
      </c>
      <c r="N143" s="18" t="n">
        <f aca="false">G143/60*Machinery!$L$15</f>
        <v>7.29166666666667</v>
      </c>
      <c r="O143" s="18" t="n">
        <f aca="false">F143/60*Assumptions!$B$20</f>
        <v>40.207729468599</v>
      </c>
      <c r="P143" s="18" t="n">
        <f aca="false">I143*Assumptions!$B$34*Assumptions!$B$35</f>
        <v>2.4225</v>
      </c>
      <c r="Q143" s="18" t="n">
        <f aca="false">SUM(K143:P143)</f>
        <v>60.8700628019324</v>
      </c>
      <c r="R143" s="18" t="n">
        <f aca="false">J143-Q143</f>
        <v>64.1299371980676</v>
      </c>
      <c r="S143" s="28" t="n">
        <f aca="false">IF(J143=0,0,R143/J143)</f>
        <v>0.513039497584541</v>
      </c>
      <c r="T143" s="26" t="n">
        <f aca="false">INDEX($B$13:$B$25,MATCH(E143,$A$13:$A$25,0))</f>
        <v>0.7</v>
      </c>
      <c r="U143" s="18" t="n">
        <f aca="false">SUM(K143:O143)/(1-T143-Assumptions!$B$34*Assumptions!$B$35*(1+H143*$B$5))</f>
        <v>208.280104062192</v>
      </c>
      <c r="V143" s="18" t="n">
        <f aca="false">MROUND(U143*(1+H143*$B$5),$B$6)</f>
        <v>250</v>
      </c>
      <c r="W143" s="26" t="n">
        <f aca="false">IF(I143=0,0,V143/I143-1)</f>
        <v>0.666666666666667</v>
      </c>
      <c r="X143" s="29" t="n">
        <f aca="false">MROUND(V143*3*(1-$B$7),$B$6)</f>
        <v>675</v>
      </c>
      <c r="Y143" s="29" t="n">
        <f aca="false">MROUND(V143*6*(1-$B$8),$B$6)</f>
        <v>1275</v>
      </c>
      <c r="Z143" s="29" t="n">
        <f aca="false">MROUND(V143*10*(1-$B$9),$B$6)</f>
        <v>2000</v>
      </c>
      <c r="AC143" s="25" t="n">
        <f aca="false">IF(OR(D143="ACTIVE",D143="CONSULTATION"),1,0)</f>
        <v>0</v>
      </c>
    </row>
    <row r="144" customFormat="false" ht="15" hidden="false" customHeight="false" outlineLevel="0" collapsed="false">
      <c r="A144" s="6" t="s">
        <v>391</v>
      </c>
      <c r="B144" s="6" t="s">
        <v>394</v>
      </c>
      <c r="C144" s="2" t="s">
        <v>280</v>
      </c>
      <c r="D144" s="30" t="s">
        <v>344</v>
      </c>
      <c r="E144" s="2" t="s">
        <v>205</v>
      </c>
      <c r="F144" s="25" t="n">
        <v>40</v>
      </c>
      <c r="G144" s="25" t="n">
        <v>40</v>
      </c>
      <c r="H144" s="26" t="n">
        <v>0.2</v>
      </c>
      <c r="I144" s="18" t="n">
        <v>70</v>
      </c>
      <c r="J144" s="18" t="n">
        <f aca="false">I144/(1+H144*$B$5)</f>
        <v>58.3333333333333</v>
      </c>
      <c r="K144" s="27" t="n">
        <v>3</v>
      </c>
      <c r="L144" s="18" t="n">
        <f aca="false">G144/60*Machinery!$H$15*Assumptions!$B$23/100</f>
        <v>0.018</v>
      </c>
      <c r="M144" s="18" t="n">
        <f aca="false">G144/60*Machinery!$K$15</f>
        <v>1.66666666666667</v>
      </c>
      <c r="N144" s="18" t="n">
        <f aca="false">G144/60*Machinery!$L$15</f>
        <v>4.16666666666667</v>
      </c>
      <c r="O144" s="18" t="n">
        <f aca="false">F144/60*Assumptions!$B$20</f>
        <v>22.975845410628</v>
      </c>
      <c r="P144" s="18" t="n">
        <f aca="false">I144*Assumptions!$B$34*Assumptions!$B$35</f>
        <v>1.1305</v>
      </c>
      <c r="Q144" s="18" t="n">
        <f aca="false">SUM(K144:P144)</f>
        <v>32.9576787439614</v>
      </c>
      <c r="R144" s="18" t="n">
        <f aca="false">J144-Q144</f>
        <v>25.375654589372</v>
      </c>
      <c r="S144" s="28" t="n">
        <f aca="false">IF(J144=0,0,R144/J144)</f>
        <v>0.435011221532091</v>
      </c>
      <c r="T144" s="26" t="n">
        <f aca="false">INDEX($B$13:$B$25,MATCH(E144,$A$13:$A$25,0))</f>
        <v>0.7</v>
      </c>
      <c r="U144" s="18" t="n">
        <f aca="false">SUM(K144:O144)/(1-T144-Assumptions!$B$34*Assumptions!$B$35*(1+H144*$B$5))</f>
        <v>113.417357080612</v>
      </c>
      <c r="V144" s="18" t="n">
        <f aca="false">MROUND(U144*(1+H144*$B$5),$B$6)</f>
        <v>136</v>
      </c>
      <c r="W144" s="26" t="n">
        <f aca="false">IF(I144=0,0,V144/I144-1)</f>
        <v>0.942857142857143</v>
      </c>
      <c r="X144" s="29" t="n">
        <f aca="false">MROUND(V144*3*(1-$B$7),$B$6)</f>
        <v>367</v>
      </c>
      <c r="Y144" s="29" t="n">
        <f aca="false">MROUND(V144*6*(1-$B$8),$B$6)</f>
        <v>694</v>
      </c>
      <c r="Z144" s="29" t="n">
        <f aca="false">MROUND(V144*10*(1-$B$9),$B$6)</f>
        <v>1088</v>
      </c>
      <c r="AC144" s="25" t="n">
        <f aca="false">IF(OR(D144="ACTIVE",D144="CONSULTATION"),1,0)</f>
        <v>0</v>
      </c>
    </row>
    <row r="145" customFormat="false" ht="15" hidden="false" customHeight="false" outlineLevel="0" collapsed="false">
      <c r="A145" s="6" t="s">
        <v>391</v>
      </c>
      <c r="B145" s="6" t="s">
        <v>395</v>
      </c>
      <c r="C145" s="2" t="s">
        <v>280</v>
      </c>
      <c r="D145" s="30" t="s">
        <v>344</v>
      </c>
      <c r="E145" s="2" t="s">
        <v>205</v>
      </c>
      <c r="F145" s="25" t="n">
        <v>30</v>
      </c>
      <c r="G145" s="25" t="n">
        <v>30</v>
      </c>
      <c r="H145" s="26" t="n">
        <v>0.2</v>
      </c>
      <c r="I145" s="18" t="n">
        <v>85</v>
      </c>
      <c r="J145" s="18" t="n">
        <f aca="false">I145/(1+H145*$B$5)</f>
        <v>70.8333333333333</v>
      </c>
      <c r="K145" s="27" t="n">
        <v>3</v>
      </c>
      <c r="L145" s="18" t="n">
        <f aca="false">G145/60*Machinery!$H$15*Assumptions!$B$23/100</f>
        <v>0.0135</v>
      </c>
      <c r="M145" s="18" t="n">
        <f aca="false">G145/60*Machinery!$K$15</f>
        <v>1.25</v>
      </c>
      <c r="N145" s="18" t="n">
        <f aca="false">G145/60*Machinery!$L$15</f>
        <v>3.125</v>
      </c>
      <c r="O145" s="18" t="n">
        <f aca="false">F145/60*Assumptions!$B$20</f>
        <v>17.231884057971</v>
      </c>
      <c r="P145" s="18" t="n">
        <f aca="false">I145*Assumptions!$B$34*Assumptions!$B$35</f>
        <v>1.37275</v>
      </c>
      <c r="Q145" s="18" t="n">
        <f aca="false">SUM(K145:P145)</f>
        <v>25.993134057971</v>
      </c>
      <c r="R145" s="18" t="n">
        <f aca="false">J145-Q145</f>
        <v>44.8401992753623</v>
      </c>
      <c r="S145" s="28" t="n">
        <f aca="false">IF(J145=0,0,R145/J145)</f>
        <v>0.63303810741688</v>
      </c>
      <c r="T145" s="26" t="n">
        <f aca="false">INDEX($B$13:$B$25,MATCH(E145,$A$13:$A$25,0))</f>
        <v>0.7</v>
      </c>
      <c r="U145" s="18" t="n">
        <f aca="false">SUM(K145:O145)/(1-T145-Assumptions!$B$34*Assumptions!$B$35*(1+H145*$B$5))</f>
        <v>87.7356712207648</v>
      </c>
      <c r="V145" s="18" t="n">
        <f aca="false">MROUND(U145*(1+H145*$B$5),$B$6)</f>
        <v>105</v>
      </c>
      <c r="W145" s="26" t="n">
        <f aca="false">IF(I145=0,0,V145/I145-1)</f>
        <v>0.235294117647059</v>
      </c>
      <c r="X145" s="29" t="n">
        <f aca="false">MROUND(V145*3*(1-$B$7),$B$6)</f>
        <v>284</v>
      </c>
      <c r="Y145" s="29" t="n">
        <f aca="false">MROUND(V145*6*(1-$B$8),$B$6)</f>
        <v>536</v>
      </c>
      <c r="Z145" s="29" t="n">
        <f aca="false">MROUND(V145*10*(1-$B$9),$B$6)</f>
        <v>840</v>
      </c>
      <c r="AC145" s="25" t="n">
        <f aca="false">IF(OR(D145="ACTIVE",D145="CONSULTATION"),1,0)</f>
        <v>0</v>
      </c>
    </row>
    <row r="146" customFormat="false" ht="15" hidden="false" customHeight="false" outlineLevel="0" collapsed="false">
      <c r="A146" s="6" t="s">
        <v>396</v>
      </c>
      <c r="B146" s="6" t="s">
        <v>397</v>
      </c>
      <c r="C146" s="2" t="s">
        <v>280</v>
      </c>
      <c r="D146" s="30" t="s">
        <v>344</v>
      </c>
      <c r="E146" s="2" t="s">
        <v>196</v>
      </c>
      <c r="F146" s="25" t="n">
        <v>50</v>
      </c>
      <c r="G146" s="25" t="n">
        <v>50</v>
      </c>
      <c r="H146" s="26" t="n">
        <v>0.2</v>
      </c>
      <c r="I146" s="18" t="n">
        <v>145</v>
      </c>
      <c r="J146" s="18" t="n">
        <f aca="false">I146/(1+H146*$B$5)</f>
        <v>120.833333333333</v>
      </c>
      <c r="K146" s="27" t="n">
        <v>25</v>
      </c>
      <c r="L146" s="18" t="n">
        <f aca="false">G146/60*Machinery!$H$13*Assumptions!$B$23/100</f>
        <v>0.0045</v>
      </c>
      <c r="M146" s="18" t="n">
        <f aca="false">G146/60*Machinery!$K$13</f>
        <v>0.385802469135803</v>
      </c>
      <c r="N146" s="18" t="n">
        <f aca="false">G146/60*Machinery!$L$13</f>
        <v>2.89351851851852</v>
      </c>
      <c r="O146" s="18" t="n">
        <f aca="false">F146/60*Assumptions!$B$20</f>
        <v>28.719806763285</v>
      </c>
      <c r="P146" s="18" t="n">
        <f aca="false">I146*Assumptions!$B$34*Assumptions!$B$35</f>
        <v>2.34175</v>
      </c>
      <c r="Q146" s="18" t="n">
        <f aca="false">SUM(K146:P146)</f>
        <v>59.3453777509394</v>
      </c>
      <c r="R146" s="18" t="n">
        <f aca="false">J146-Q146</f>
        <v>61.487955582394</v>
      </c>
      <c r="S146" s="28" t="n">
        <f aca="false">IF(J146=0,0,R146/J146)</f>
        <v>0.508865839302571</v>
      </c>
      <c r="T146" s="26" t="n">
        <f aca="false">INDEX($B$13:$B$25,MATCH(E146,$A$13:$A$25,0))</f>
        <v>0.65</v>
      </c>
      <c r="U146" s="18" t="n">
        <f aca="false">SUM(K146:O146)/(1-T146-Assumptions!$B$34*Assumptions!$B$35*(1+H146*$B$5))</f>
        <v>172.41433594743</v>
      </c>
      <c r="V146" s="18" t="n">
        <f aca="false">MROUND(U146*(1+H146*$B$5),$B$6)</f>
        <v>207</v>
      </c>
      <c r="W146" s="26" t="n">
        <f aca="false">IF(I146=0,0,V146/I146-1)</f>
        <v>0.427586206896552</v>
      </c>
      <c r="X146" s="29" t="n">
        <f aca="false">MROUND(V146*3*(1-$B$7),$B$6)</f>
        <v>559</v>
      </c>
      <c r="Y146" s="29" t="n">
        <f aca="false">MROUND(V146*6*(1-$B$8),$B$6)</f>
        <v>1056</v>
      </c>
      <c r="Z146" s="29" t="n">
        <f aca="false">MROUND(V146*10*(1-$B$9),$B$6)</f>
        <v>1656</v>
      </c>
      <c r="AC146" s="25" t="n">
        <f aca="false">IF(OR(D146="ACTIVE",D146="CONSULTATION"),1,0)</f>
        <v>0</v>
      </c>
    </row>
    <row r="147" customFormat="false" ht="15" hidden="false" customHeight="false" outlineLevel="0" collapsed="false">
      <c r="A147" s="6" t="s">
        <v>397</v>
      </c>
      <c r="B147" s="6" t="s">
        <v>397</v>
      </c>
      <c r="C147" s="2" t="s">
        <v>280</v>
      </c>
      <c r="D147" s="2" t="s">
        <v>320</v>
      </c>
      <c r="E147" s="2" t="s">
        <v>196</v>
      </c>
      <c r="F147" s="25" t="n">
        <v>60</v>
      </c>
      <c r="G147" s="25" t="n">
        <v>60</v>
      </c>
      <c r="H147" s="26" t="n">
        <v>0.2</v>
      </c>
      <c r="I147" s="18" t="n">
        <v>145</v>
      </c>
      <c r="J147" s="18" t="n">
        <f aca="false">I147/(1+H147*$B$5)</f>
        <v>120.833333333333</v>
      </c>
      <c r="K147" s="27" t="n">
        <v>25</v>
      </c>
      <c r="L147" s="18" t="n">
        <f aca="false">G147/60*Machinery!$H$13*Assumptions!$B$23/100</f>
        <v>0.0054</v>
      </c>
      <c r="M147" s="18" t="n">
        <f aca="false">G147/60*Machinery!$K$13</f>
        <v>0.462962962962963</v>
      </c>
      <c r="N147" s="18" t="n">
        <f aca="false">G147/60*Machinery!$L$13</f>
        <v>3.47222222222222</v>
      </c>
      <c r="O147" s="18" t="n">
        <f aca="false">F147/60*Assumptions!$B$20</f>
        <v>34.463768115942</v>
      </c>
      <c r="P147" s="18" t="n">
        <f aca="false">I147*Assumptions!$B$34*Assumptions!$B$35</f>
        <v>2.34175</v>
      </c>
      <c r="Q147" s="18" t="n">
        <f aca="false">SUM(K147:P147)</f>
        <v>65.7461033011272</v>
      </c>
      <c r="R147" s="18" t="n">
        <f aca="false">J147-Q147</f>
        <v>55.0872300322061</v>
      </c>
      <c r="S147" s="28" t="n">
        <f aca="false">IF(J147=0,0,R147/J147)</f>
        <v>0.455894317507913</v>
      </c>
      <c r="T147" s="26" t="n">
        <f aca="false">INDEX($B$13:$B$25,MATCH(E147,$A$13:$A$25,0))</f>
        <v>0.65</v>
      </c>
      <c r="U147" s="18" t="n">
        <f aca="false">SUM(K147:O147)/(1-T147-Assumptions!$B$34*Assumptions!$B$35*(1+H147*$B$5))</f>
        <v>191.774101086224</v>
      </c>
      <c r="V147" s="18" t="n">
        <f aca="false">MROUND(U147*(1+H147*$B$5),$B$6)</f>
        <v>230</v>
      </c>
      <c r="W147" s="26" t="n">
        <f aca="false">IF(I147=0,0,V147/I147-1)</f>
        <v>0.586206896551724</v>
      </c>
      <c r="X147" s="29" t="n">
        <f aca="false">MROUND(V147*3*(1-$B$7),$B$6)</f>
        <v>621</v>
      </c>
      <c r="Y147" s="29" t="n">
        <f aca="false">MROUND(V147*6*(1-$B$8),$B$6)</f>
        <v>1173</v>
      </c>
      <c r="Z147" s="29" t="n">
        <f aca="false">MROUND(V147*10*(1-$B$9),$B$6)</f>
        <v>1840</v>
      </c>
      <c r="AC147" s="25" t="n">
        <f aca="false">IF(OR(D147="ACTIVE",D147="CONSULTATION"),1,0)</f>
        <v>1</v>
      </c>
    </row>
    <row r="148" customFormat="false" ht="15" hidden="false" customHeight="false" outlineLevel="0" collapsed="false">
      <c r="A148" s="6" t="s">
        <v>398</v>
      </c>
      <c r="B148" s="6" t="s">
        <v>399</v>
      </c>
      <c r="C148" s="2" t="s">
        <v>280</v>
      </c>
      <c r="D148" s="2" t="s">
        <v>320</v>
      </c>
      <c r="E148" s="2" t="s">
        <v>215</v>
      </c>
      <c r="F148" s="25" t="n">
        <v>60</v>
      </c>
      <c r="G148" s="25" t="n">
        <v>0</v>
      </c>
      <c r="H148" s="26" t="n">
        <v>0.2</v>
      </c>
      <c r="I148" s="18" t="n">
        <v>95</v>
      </c>
      <c r="J148" s="18" t="n">
        <f aca="false">I148/(1+H148*$B$5)</f>
        <v>79.1666666666667</v>
      </c>
      <c r="K148" s="27" t="n">
        <v>3</v>
      </c>
      <c r="L148" s="18" t="n">
        <f aca="false">G148/60*Machinery!$H$17*Assumptions!$B$23/100</f>
        <v>0</v>
      </c>
      <c r="M148" s="18" t="n">
        <f aca="false">G148/60*Machinery!$K$17</f>
        <v>0</v>
      </c>
      <c r="N148" s="18" t="n">
        <f aca="false">G148/60*Machinery!$L$17</f>
        <v>0</v>
      </c>
      <c r="O148" s="18" t="n">
        <f aca="false">F148/60*Assumptions!$B$20</f>
        <v>34.463768115942</v>
      </c>
      <c r="P148" s="18" t="n">
        <f aca="false">I148*Assumptions!$B$34*Assumptions!$B$35</f>
        <v>1.53425</v>
      </c>
      <c r="Q148" s="18" t="n">
        <f aca="false">SUM(K148:P148)</f>
        <v>38.998018115942</v>
      </c>
      <c r="R148" s="18" t="n">
        <f aca="false">J148-Q148</f>
        <v>40.1686485507246</v>
      </c>
      <c r="S148" s="28" t="n">
        <f aca="false">IF(J148=0,0,R148/J148)</f>
        <v>0.507393455377574</v>
      </c>
      <c r="T148" s="26" t="n">
        <f aca="false">INDEX($B$13:$B$25,MATCH(E148,$A$13:$A$25,0))</f>
        <v>0.65</v>
      </c>
      <c r="U148" s="18" t="n">
        <f aca="false">SUM(K148:O148)/(1-T148-Assumptions!$B$34*Assumptions!$B$35*(1+H148*$B$5))</f>
        <v>113.313677684175</v>
      </c>
      <c r="V148" s="18" t="n">
        <f aca="false">MROUND(U148*(1+H148*$B$5),$B$6)</f>
        <v>136</v>
      </c>
      <c r="W148" s="26" t="n">
        <f aca="false">IF(I148=0,0,V148/I148-1)</f>
        <v>0.431578947368421</v>
      </c>
      <c r="X148" s="29" t="n">
        <f aca="false">MROUND(V148*3*(1-$B$7),$B$6)</f>
        <v>367</v>
      </c>
      <c r="Y148" s="29" t="n">
        <f aca="false">MROUND(V148*6*(1-$B$8),$B$6)</f>
        <v>694</v>
      </c>
      <c r="Z148" s="29" t="n">
        <f aca="false">MROUND(V148*10*(1-$B$9),$B$6)</f>
        <v>1088</v>
      </c>
      <c r="AC148" s="25" t="n">
        <f aca="false">IF(OR(D148="ACTIVE",D148="CONSULTATION"),1,0)</f>
        <v>1</v>
      </c>
    </row>
    <row r="149" customFormat="false" ht="15" hidden="false" customHeight="false" outlineLevel="0" collapsed="false">
      <c r="A149" s="6" t="s">
        <v>398</v>
      </c>
      <c r="B149" s="6" t="s">
        <v>400</v>
      </c>
      <c r="C149" s="2" t="s">
        <v>280</v>
      </c>
      <c r="D149" s="2" t="s">
        <v>320</v>
      </c>
      <c r="E149" s="2" t="s">
        <v>215</v>
      </c>
      <c r="F149" s="25" t="n">
        <v>60</v>
      </c>
      <c r="G149" s="25" t="n">
        <v>0</v>
      </c>
      <c r="H149" s="26" t="n">
        <v>0.2</v>
      </c>
      <c r="I149" s="18" t="n">
        <v>95</v>
      </c>
      <c r="J149" s="18" t="n">
        <f aca="false">I149/(1+H149*$B$5)</f>
        <v>79.1666666666667</v>
      </c>
      <c r="K149" s="27" t="n">
        <v>3</v>
      </c>
      <c r="L149" s="18" t="n">
        <f aca="false">G149/60*Machinery!$H$17*Assumptions!$B$23/100</f>
        <v>0</v>
      </c>
      <c r="M149" s="18" t="n">
        <f aca="false">G149/60*Machinery!$K$17</f>
        <v>0</v>
      </c>
      <c r="N149" s="18" t="n">
        <f aca="false">G149/60*Machinery!$L$17</f>
        <v>0</v>
      </c>
      <c r="O149" s="18" t="n">
        <f aca="false">F149/60*Assumptions!$B$20</f>
        <v>34.463768115942</v>
      </c>
      <c r="P149" s="18" t="n">
        <f aca="false">I149*Assumptions!$B$34*Assumptions!$B$35</f>
        <v>1.53425</v>
      </c>
      <c r="Q149" s="18" t="n">
        <f aca="false">SUM(K149:P149)</f>
        <v>38.998018115942</v>
      </c>
      <c r="R149" s="18" t="n">
        <f aca="false">J149-Q149</f>
        <v>40.1686485507246</v>
      </c>
      <c r="S149" s="28" t="n">
        <f aca="false">IF(J149=0,0,R149/J149)</f>
        <v>0.507393455377574</v>
      </c>
      <c r="T149" s="26" t="n">
        <f aca="false">INDEX($B$13:$B$25,MATCH(E149,$A$13:$A$25,0))</f>
        <v>0.65</v>
      </c>
      <c r="U149" s="18" t="n">
        <f aca="false">SUM(K149:O149)/(1-T149-Assumptions!$B$34*Assumptions!$B$35*(1+H149*$B$5))</f>
        <v>113.313677684175</v>
      </c>
      <c r="V149" s="18" t="n">
        <f aca="false">MROUND(U149*(1+H149*$B$5),$B$6)</f>
        <v>136</v>
      </c>
      <c r="W149" s="26" t="n">
        <f aca="false">IF(I149=0,0,V149/I149-1)</f>
        <v>0.431578947368421</v>
      </c>
      <c r="X149" s="29" t="n">
        <f aca="false">MROUND(V149*3*(1-$B$7),$B$6)</f>
        <v>367</v>
      </c>
      <c r="Y149" s="29" t="n">
        <f aca="false">MROUND(V149*6*(1-$B$8),$B$6)</f>
        <v>694</v>
      </c>
      <c r="Z149" s="29" t="n">
        <f aca="false">MROUND(V149*10*(1-$B$9),$B$6)</f>
        <v>1088</v>
      </c>
      <c r="AC149" s="25" t="n">
        <f aca="false">IF(OR(D149="ACTIVE",D149="CONSULTATION"),1,0)</f>
        <v>1</v>
      </c>
    </row>
    <row r="150" customFormat="false" ht="15" hidden="false" customHeight="false" outlineLevel="0" collapsed="false">
      <c r="A150" s="6" t="s">
        <v>398</v>
      </c>
      <c r="B150" s="6" t="s">
        <v>401</v>
      </c>
      <c r="C150" s="2" t="s">
        <v>280</v>
      </c>
      <c r="D150" s="2" t="s">
        <v>320</v>
      </c>
      <c r="E150" s="2" t="s">
        <v>215</v>
      </c>
      <c r="F150" s="25" t="n">
        <v>30</v>
      </c>
      <c r="G150" s="25" t="n">
        <v>0</v>
      </c>
      <c r="H150" s="26" t="n">
        <v>0.2</v>
      </c>
      <c r="I150" s="18" t="n">
        <v>60</v>
      </c>
      <c r="J150" s="18" t="n">
        <f aca="false">I150/(1+H150*$B$5)</f>
        <v>50</v>
      </c>
      <c r="K150" s="27" t="n">
        <v>2</v>
      </c>
      <c r="L150" s="18" t="n">
        <f aca="false">G150/60*Machinery!$H$17*Assumptions!$B$23/100</f>
        <v>0</v>
      </c>
      <c r="M150" s="18" t="n">
        <f aca="false">G150/60*Machinery!$K$17</f>
        <v>0</v>
      </c>
      <c r="N150" s="18" t="n">
        <f aca="false">G150/60*Machinery!$L$17</f>
        <v>0</v>
      </c>
      <c r="O150" s="18" t="n">
        <f aca="false">F150/60*Assumptions!$B$20</f>
        <v>17.231884057971</v>
      </c>
      <c r="P150" s="18" t="n">
        <f aca="false">I150*Assumptions!$B$34*Assumptions!$B$35</f>
        <v>0.969</v>
      </c>
      <c r="Q150" s="18" t="n">
        <f aca="false">SUM(K150:P150)</f>
        <v>20.200884057971</v>
      </c>
      <c r="R150" s="18" t="n">
        <f aca="false">J150-Q150</f>
        <v>29.799115942029</v>
      </c>
      <c r="S150" s="28" t="n">
        <f aca="false">IF(J150=0,0,R150/J150)</f>
        <v>0.59598231884058</v>
      </c>
      <c r="T150" s="26" t="n">
        <f aca="false">INDEX($B$13:$B$25,MATCH(E150,$A$13:$A$25,0))</f>
        <v>0.65</v>
      </c>
      <c r="U150" s="18" t="n">
        <f aca="false">SUM(K150:O150)/(1-T150-Assumptions!$B$34*Assumptions!$B$35*(1+H150*$B$5))</f>
        <v>58.1691490471569</v>
      </c>
      <c r="V150" s="18" t="n">
        <f aca="false">MROUND(U150*(1+H150*$B$5),$B$6)</f>
        <v>70</v>
      </c>
      <c r="W150" s="26" t="n">
        <f aca="false">IF(I150=0,0,V150/I150-1)</f>
        <v>0.166666666666667</v>
      </c>
      <c r="X150" s="29" t="n">
        <f aca="false">MROUND(V150*3*(1-$B$7),$B$6)</f>
        <v>189</v>
      </c>
      <c r="Y150" s="29" t="n">
        <f aca="false">MROUND(V150*6*(1-$B$8),$B$6)</f>
        <v>357</v>
      </c>
      <c r="Z150" s="29" t="n">
        <f aca="false">MROUND(V150*10*(1-$B$9),$B$6)</f>
        <v>560</v>
      </c>
      <c r="AC150" s="25" t="n">
        <f aca="false">IF(OR(D150="ACTIVE",D150="CONSULTATION"),1,0)</f>
        <v>1</v>
      </c>
    </row>
    <row r="151" customFormat="false" ht="15" hidden="false" customHeight="false" outlineLevel="0" collapsed="false">
      <c r="A151" s="6" t="s">
        <v>398</v>
      </c>
      <c r="B151" s="6" t="s">
        <v>402</v>
      </c>
      <c r="C151" s="2" t="s">
        <v>280</v>
      </c>
      <c r="D151" s="2" t="s">
        <v>320</v>
      </c>
      <c r="E151" s="2" t="s">
        <v>215</v>
      </c>
      <c r="F151" s="25" t="n">
        <v>60</v>
      </c>
      <c r="G151" s="25" t="n">
        <v>0</v>
      </c>
      <c r="H151" s="26" t="n">
        <v>0.2</v>
      </c>
      <c r="I151" s="18" t="n">
        <v>95</v>
      </c>
      <c r="J151" s="18" t="n">
        <f aca="false">I151/(1+H151*$B$5)</f>
        <v>79.1666666666667</v>
      </c>
      <c r="K151" s="27" t="n">
        <v>3</v>
      </c>
      <c r="L151" s="18" t="n">
        <f aca="false">G151/60*Machinery!$H$17*Assumptions!$B$23/100</f>
        <v>0</v>
      </c>
      <c r="M151" s="18" t="n">
        <f aca="false">G151/60*Machinery!$K$17</f>
        <v>0</v>
      </c>
      <c r="N151" s="18" t="n">
        <f aca="false">G151/60*Machinery!$L$17</f>
        <v>0</v>
      </c>
      <c r="O151" s="18" t="n">
        <f aca="false">F151/60*Assumptions!$B$20</f>
        <v>34.463768115942</v>
      </c>
      <c r="P151" s="18" t="n">
        <f aca="false">I151*Assumptions!$B$34*Assumptions!$B$35</f>
        <v>1.53425</v>
      </c>
      <c r="Q151" s="18" t="n">
        <f aca="false">SUM(K151:P151)</f>
        <v>38.998018115942</v>
      </c>
      <c r="R151" s="18" t="n">
        <f aca="false">J151-Q151</f>
        <v>40.1686485507246</v>
      </c>
      <c r="S151" s="28" t="n">
        <f aca="false">IF(J151=0,0,R151/J151)</f>
        <v>0.507393455377574</v>
      </c>
      <c r="T151" s="26" t="n">
        <f aca="false">INDEX($B$13:$B$25,MATCH(E151,$A$13:$A$25,0))</f>
        <v>0.65</v>
      </c>
      <c r="U151" s="18" t="n">
        <f aca="false">SUM(K151:O151)/(1-T151-Assumptions!$B$34*Assumptions!$B$35*(1+H151*$B$5))</f>
        <v>113.313677684175</v>
      </c>
      <c r="V151" s="18" t="n">
        <f aca="false">MROUND(U151*(1+H151*$B$5),$B$6)</f>
        <v>136</v>
      </c>
      <c r="W151" s="26" t="n">
        <f aca="false">IF(I151=0,0,V151/I151-1)</f>
        <v>0.431578947368421</v>
      </c>
      <c r="X151" s="29" t="n">
        <f aca="false">MROUND(V151*3*(1-$B$7),$B$6)</f>
        <v>367</v>
      </c>
      <c r="Y151" s="29" t="n">
        <f aca="false">MROUND(V151*6*(1-$B$8),$B$6)</f>
        <v>694</v>
      </c>
      <c r="Z151" s="29" t="n">
        <f aca="false">MROUND(V151*10*(1-$B$9),$B$6)</f>
        <v>1088</v>
      </c>
      <c r="AC151" s="25" t="n">
        <f aca="false">IF(OR(D151="ACTIVE",D151="CONSULTATION"),1,0)</f>
        <v>1</v>
      </c>
    </row>
    <row r="152" customFormat="false" ht="15" hidden="false" customHeight="false" outlineLevel="0" collapsed="false">
      <c r="A152" s="6" t="s">
        <v>398</v>
      </c>
      <c r="B152" s="6" t="s">
        <v>403</v>
      </c>
      <c r="C152" s="2" t="s">
        <v>280</v>
      </c>
      <c r="D152" s="2" t="s">
        <v>320</v>
      </c>
      <c r="E152" s="2" t="s">
        <v>215</v>
      </c>
      <c r="F152" s="25" t="n">
        <v>60</v>
      </c>
      <c r="G152" s="25" t="n">
        <v>0</v>
      </c>
      <c r="H152" s="26" t="n">
        <v>0.2</v>
      </c>
      <c r="I152" s="18" t="n">
        <v>105</v>
      </c>
      <c r="J152" s="18" t="n">
        <f aca="false">I152/(1+H152*$B$5)</f>
        <v>87.5</v>
      </c>
      <c r="K152" s="27" t="n">
        <v>4</v>
      </c>
      <c r="L152" s="18" t="n">
        <f aca="false">G152/60*Machinery!$H$17*Assumptions!$B$23/100</f>
        <v>0</v>
      </c>
      <c r="M152" s="18" t="n">
        <f aca="false">G152/60*Machinery!$K$17</f>
        <v>0</v>
      </c>
      <c r="N152" s="18" t="n">
        <f aca="false">G152/60*Machinery!$L$17</f>
        <v>0</v>
      </c>
      <c r="O152" s="18" t="n">
        <f aca="false">F152/60*Assumptions!$B$20</f>
        <v>34.463768115942</v>
      </c>
      <c r="P152" s="18" t="n">
        <f aca="false">I152*Assumptions!$B$34*Assumptions!$B$35</f>
        <v>1.69575</v>
      </c>
      <c r="Q152" s="18" t="n">
        <f aca="false">SUM(K152:P152)</f>
        <v>40.159518115942</v>
      </c>
      <c r="R152" s="18" t="n">
        <f aca="false">J152-Q152</f>
        <v>47.340481884058</v>
      </c>
      <c r="S152" s="28" t="n">
        <f aca="false">IF(J152=0,0,R152/J152)</f>
        <v>0.541034078674948</v>
      </c>
      <c r="T152" s="26" t="n">
        <f aca="false">INDEX($B$13:$B$25,MATCH(E152,$A$13:$A$25,0))</f>
        <v>0.65</v>
      </c>
      <c r="U152" s="18" t="n">
        <f aca="false">SUM(K152:O152)/(1-T152-Assumptions!$B$34*Assumptions!$B$35*(1+H152*$B$5))</f>
        <v>116.338298094314</v>
      </c>
      <c r="V152" s="18" t="n">
        <f aca="false">MROUND(U152*(1+H152*$B$5),$B$6)</f>
        <v>140</v>
      </c>
      <c r="W152" s="26" t="n">
        <f aca="false">IF(I152=0,0,V152/I152-1)</f>
        <v>0.333333333333333</v>
      </c>
      <c r="X152" s="29" t="n">
        <f aca="false">MROUND(V152*3*(1-$B$7),$B$6)</f>
        <v>378</v>
      </c>
      <c r="Y152" s="29" t="n">
        <f aca="false">MROUND(V152*6*(1-$B$8),$B$6)</f>
        <v>714</v>
      </c>
      <c r="Z152" s="29" t="n">
        <f aca="false">MROUND(V152*10*(1-$B$9),$B$6)</f>
        <v>1120</v>
      </c>
      <c r="AC152" s="25" t="n">
        <f aca="false">IF(OR(D152="ACTIVE",D152="CONSULTATION"),1,0)</f>
        <v>1</v>
      </c>
    </row>
    <row r="153" customFormat="false" ht="15" hidden="false" customHeight="false" outlineLevel="0" collapsed="false">
      <c r="A153" s="6" t="s">
        <v>398</v>
      </c>
      <c r="B153" s="6" t="s">
        <v>404</v>
      </c>
      <c r="C153" s="2" t="s">
        <v>280</v>
      </c>
      <c r="D153" s="2" t="s">
        <v>320</v>
      </c>
      <c r="E153" s="2" t="s">
        <v>215</v>
      </c>
      <c r="F153" s="25" t="n">
        <v>60</v>
      </c>
      <c r="G153" s="25" t="n">
        <v>0</v>
      </c>
      <c r="H153" s="26" t="n">
        <v>0.2</v>
      </c>
      <c r="I153" s="18" t="n">
        <v>95</v>
      </c>
      <c r="J153" s="18" t="n">
        <f aca="false">I153/(1+H153*$B$5)</f>
        <v>79.1666666666667</v>
      </c>
      <c r="K153" s="27" t="n">
        <v>3</v>
      </c>
      <c r="L153" s="18" t="n">
        <f aca="false">G153/60*Machinery!$H$17*Assumptions!$B$23/100</f>
        <v>0</v>
      </c>
      <c r="M153" s="18" t="n">
        <f aca="false">G153/60*Machinery!$K$17</f>
        <v>0</v>
      </c>
      <c r="N153" s="18" t="n">
        <f aca="false">G153/60*Machinery!$L$17</f>
        <v>0</v>
      </c>
      <c r="O153" s="18" t="n">
        <f aca="false">F153/60*Assumptions!$B$20</f>
        <v>34.463768115942</v>
      </c>
      <c r="P153" s="18" t="n">
        <f aca="false">I153*Assumptions!$B$34*Assumptions!$B$35</f>
        <v>1.53425</v>
      </c>
      <c r="Q153" s="18" t="n">
        <f aca="false">SUM(K153:P153)</f>
        <v>38.998018115942</v>
      </c>
      <c r="R153" s="18" t="n">
        <f aca="false">J153-Q153</f>
        <v>40.1686485507246</v>
      </c>
      <c r="S153" s="28" t="n">
        <f aca="false">IF(J153=0,0,R153/J153)</f>
        <v>0.507393455377574</v>
      </c>
      <c r="T153" s="26" t="n">
        <f aca="false">INDEX($B$13:$B$25,MATCH(E153,$A$13:$A$25,0))</f>
        <v>0.65</v>
      </c>
      <c r="U153" s="18" t="n">
        <f aca="false">SUM(K153:O153)/(1-T153-Assumptions!$B$34*Assumptions!$B$35*(1+H153*$B$5))</f>
        <v>113.313677684175</v>
      </c>
      <c r="V153" s="18" t="n">
        <f aca="false">MROUND(U153*(1+H153*$B$5),$B$6)</f>
        <v>136</v>
      </c>
      <c r="W153" s="26" t="n">
        <f aca="false">IF(I153=0,0,V153/I153-1)</f>
        <v>0.431578947368421</v>
      </c>
      <c r="X153" s="29" t="n">
        <f aca="false">MROUND(V153*3*(1-$B$7),$B$6)</f>
        <v>367</v>
      </c>
      <c r="Y153" s="29" t="n">
        <f aca="false">MROUND(V153*6*(1-$B$8),$B$6)</f>
        <v>694</v>
      </c>
      <c r="Z153" s="29" t="n">
        <f aca="false">MROUND(V153*10*(1-$B$9),$B$6)</f>
        <v>1088</v>
      </c>
      <c r="AC153" s="25" t="n">
        <f aca="false">IF(OR(D153="ACTIVE",D153="CONSULTATION"),1,0)</f>
        <v>1</v>
      </c>
    </row>
    <row r="154" customFormat="false" ht="15" hidden="false" customHeight="false" outlineLevel="0" collapsed="false">
      <c r="A154" s="6" t="s">
        <v>398</v>
      </c>
      <c r="B154" s="6" t="s">
        <v>405</v>
      </c>
      <c r="C154" s="2" t="s">
        <v>280</v>
      </c>
      <c r="D154" s="2" t="s">
        <v>320</v>
      </c>
      <c r="E154" s="2" t="s">
        <v>215</v>
      </c>
      <c r="F154" s="25" t="n">
        <v>60</v>
      </c>
      <c r="G154" s="25" t="n">
        <v>0</v>
      </c>
      <c r="H154" s="26" t="n">
        <v>0.2</v>
      </c>
      <c r="I154" s="18" t="n">
        <v>95</v>
      </c>
      <c r="J154" s="18" t="n">
        <f aca="false">I154/(1+H154*$B$5)</f>
        <v>79.1666666666667</v>
      </c>
      <c r="K154" s="27" t="n">
        <v>3</v>
      </c>
      <c r="L154" s="18" t="n">
        <f aca="false">G154/60*Machinery!$H$17*Assumptions!$B$23/100</f>
        <v>0</v>
      </c>
      <c r="M154" s="18" t="n">
        <f aca="false">G154/60*Machinery!$K$17</f>
        <v>0</v>
      </c>
      <c r="N154" s="18" t="n">
        <f aca="false">G154/60*Machinery!$L$17</f>
        <v>0</v>
      </c>
      <c r="O154" s="18" t="n">
        <f aca="false">F154/60*Assumptions!$B$20</f>
        <v>34.463768115942</v>
      </c>
      <c r="P154" s="18" t="n">
        <f aca="false">I154*Assumptions!$B$34*Assumptions!$B$35</f>
        <v>1.53425</v>
      </c>
      <c r="Q154" s="18" t="n">
        <f aca="false">SUM(K154:P154)</f>
        <v>38.998018115942</v>
      </c>
      <c r="R154" s="18" t="n">
        <f aca="false">J154-Q154</f>
        <v>40.1686485507246</v>
      </c>
      <c r="S154" s="28" t="n">
        <f aca="false">IF(J154=0,0,R154/J154)</f>
        <v>0.507393455377574</v>
      </c>
      <c r="T154" s="26" t="n">
        <f aca="false">INDEX($B$13:$B$25,MATCH(E154,$A$13:$A$25,0))</f>
        <v>0.65</v>
      </c>
      <c r="U154" s="18" t="n">
        <f aca="false">SUM(K154:O154)/(1-T154-Assumptions!$B$34*Assumptions!$B$35*(1+H154*$B$5))</f>
        <v>113.313677684175</v>
      </c>
      <c r="V154" s="18" t="n">
        <f aca="false">MROUND(U154*(1+H154*$B$5),$B$6)</f>
        <v>136</v>
      </c>
      <c r="W154" s="26" t="n">
        <f aca="false">IF(I154=0,0,V154/I154-1)</f>
        <v>0.431578947368421</v>
      </c>
      <c r="X154" s="29" t="n">
        <f aca="false">MROUND(V154*3*(1-$B$7),$B$6)</f>
        <v>367</v>
      </c>
      <c r="Y154" s="29" t="n">
        <f aca="false">MROUND(V154*6*(1-$B$8),$B$6)</f>
        <v>694</v>
      </c>
      <c r="Z154" s="29" t="n">
        <f aca="false">MROUND(V154*10*(1-$B$9),$B$6)</f>
        <v>1088</v>
      </c>
      <c r="AC154" s="25" t="n">
        <f aca="false">IF(OR(D154="ACTIVE",D154="CONSULTATION"),1,0)</f>
        <v>1</v>
      </c>
    </row>
    <row r="155" customFormat="false" ht="15" hidden="false" customHeight="false" outlineLevel="0" collapsed="false">
      <c r="A155" s="6" t="s">
        <v>406</v>
      </c>
      <c r="B155" s="6" t="s">
        <v>407</v>
      </c>
      <c r="C155" s="2" t="s">
        <v>280</v>
      </c>
      <c r="D155" s="2" t="s">
        <v>320</v>
      </c>
      <c r="E155" s="2" t="s">
        <v>196</v>
      </c>
      <c r="F155" s="25" t="n">
        <v>60</v>
      </c>
      <c r="G155" s="25" t="n">
        <v>60</v>
      </c>
      <c r="H155" s="26" t="n">
        <v>0.2</v>
      </c>
      <c r="I155" s="18" t="n">
        <v>95</v>
      </c>
      <c r="J155" s="18" t="n">
        <f aca="false">I155/(1+H155*$B$5)</f>
        <v>79.1666666666667</v>
      </c>
      <c r="K155" s="27" t="n">
        <v>20</v>
      </c>
      <c r="L155" s="18" t="n">
        <f aca="false">G155/60*Machinery!$H$13*Assumptions!$B$23/100</f>
        <v>0.0054</v>
      </c>
      <c r="M155" s="18" t="n">
        <f aca="false">G155/60*Machinery!$K$13</f>
        <v>0.462962962962963</v>
      </c>
      <c r="N155" s="18" t="n">
        <f aca="false">G155/60*Machinery!$L$13</f>
        <v>3.47222222222222</v>
      </c>
      <c r="O155" s="18" t="n">
        <f aca="false">F155/60*Assumptions!$B$20</f>
        <v>34.463768115942</v>
      </c>
      <c r="P155" s="18" t="n">
        <f aca="false">I155*Assumptions!$B$34*Assumptions!$B$35</f>
        <v>1.53425</v>
      </c>
      <c r="Q155" s="18" t="n">
        <f aca="false">SUM(K155:P155)</f>
        <v>59.9386033011272</v>
      </c>
      <c r="R155" s="18" t="n">
        <f aca="false">J155-Q155</f>
        <v>19.2280633655395</v>
      </c>
      <c r="S155" s="28" t="n">
        <f aca="false">IF(J155=0,0,R155/J155)</f>
        <v>0.242880800406814</v>
      </c>
      <c r="T155" s="26" t="n">
        <f aca="false">INDEX($B$13:$B$25,MATCH(E155,$A$13:$A$25,0))</f>
        <v>0.65</v>
      </c>
      <c r="U155" s="18" t="n">
        <f aca="false">SUM(K155:O155)/(1-T155-Assumptions!$B$34*Assumptions!$B$35*(1+H155*$B$5))</f>
        <v>176.650999035531</v>
      </c>
      <c r="V155" s="18" t="n">
        <f aca="false">MROUND(U155*(1+H155*$B$5),$B$6)</f>
        <v>212</v>
      </c>
      <c r="W155" s="26" t="n">
        <f aca="false">IF(I155=0,0,V155/I155-1)</f>
        <v>1.23157894736842</v>
      </c>
      <c r="X155" s="29" t="n">
        <f aca="false">MROUND(V155*3*(1-$B$7),$B$6)</f>
        <v>572</v>
      </c>
      <c r="Y155" s="29" t="n">
        <f aca="false">MROUND(V155*6*(1-$B$8),$B$6)</f>
        <v>1081</v>
      </c>
      <c r="Z155" s="29" t="n">
        <f aca="false">MROUND(V155*10*(1-$B$9),$B$6)</f>
        <v>1696</v>
      </c>
      <c r="AC155" s="25" t="n">
        <f aca="false">IF(OR(D155="ACTIVE",D155="CONSULTATION"),1,0)</f>
        <v>1</v>
      </c>
    </row>
    <row r="156" customFormat="false" ht="15" hidden="false" customHeight="false" outlineLevel="0" collapsed="false">
      <c r="A156" s="6" t="s">
        <v>406</v>
      </c>
      <c r="B156" s="6" t="s">
        <v>408</v>
      </c>
      <c r="C156" s="2" t="s">
        <v>280</v>
      </c>
      <c r="D156" s="2" t="s">
        <v>320</v>
      </c>
      <c r="E156" s="2" t="s">
        <v>196</v>
      </c>
      <c r="F156" s="25" t="n">
        <v>60</v>
      </c>
      <c r="G156" s="25" t="n">
        <v>60</v>
      </c>
      <c r="H156" s="26" t="n">
        <v>0.2</v>
      </c>
      <c r="I156" s="18" t="n">
        <v>115</v>
      </c>
      <c r="J156" s="18" t="n">
        <f aca="false">I156/(1+H156*$B$5)</f>
        <v>95.8333333333333</v>
      </c>
      <c r="K156" s="27" t="n">
        <v>22</v>
      </c>
      <c r="L156" s="18" t="n">
        <f aca="false">G156/60*Machinery!$H$13*Assumptions!$B$23/100</f>
        <v>0.0054</v>
      </c>
      <c r="M156" s="18" t="n">
        <f aca="false">G156/60*Machinery!$K$13</f>
        <v>0.462962962962963</v>
      </c>
      <c r="N156" s="18" t="n">
        <f aca="false">G156/60*Machinery!$L$13</f>
        <v>3.47222222222222</v>
      </c>
      <c r="O156" s="18" t="n">
        <f aca="false">F156/60*Assumptions!$B$20</f>
        <v>34.463768115942</v>
      </c>
      <c r="P156" s="18" t="n">
        <f aca="false">I156*Assumptions!$B$34*Assumptions!$B$35</f>
        <v>1.85725</v>
      </c>
      <c r="Q156" s="18" t="n">
        <f aca="false">SUM(K156:P156)</f>
        <v>62.2616033011272</v>
      </c>
      <c r="R156" s="18" t="n">
        <f aca="false">J156-Q156</f>
        <v>33.5717300322061</v>
      </c>
      <c r="S156" s="28" t="n">
        <f aca="false">IF(J156=0,0,R156/J156)</f>
        <v>0.35031370468389</v>
      </c>
      <c r="T156" s="26" t="n">
        <f aca="false">INDEX($B$13:$B$25,MATCH(E156,$A$13:$A$25,0))</f>
        <v>0.65</v>
      </c>
      <c r="U156" s="18" t="n">
        <f aca="false">SUM(K156:O156)/(1-T156-Assumptions!$B$34*Assumptions!$B$35*(1+H156*$B$5))</f>
        <v>182.700239855808</v>
      </c>
      <c r="V156" s="18" t="n">
        <f aca="false">MROUND(U156*(1+H156*$B$5),$B$6)</f>
        <v>219</v>
      </c>
      <c r="W156" s="26" t="n">
        <f aca="false">IF(I156=0,0,V156/I156-1)</f>
        <v>0.904347826086957</v>
      </c>
      <c r="X156" s="29" t="n">
        <f aca="false">MROUND(V156*3*(1-$B$7),$B$6)</f>
        <v>591</v>
      </c>
      <c r="Y156" s="29" t="n">
        <f aca="false">MROUND(V156*6*(1-$B$8),$B$6)</f>
        <v>1117</v>
      </c>
      <c r="Z156" s="29" t="n">
        <f aca="false">MROUND(V156*10*(1-$B$9),$B$6)</f>
        <v>1752</v>
      </c>
      <c r="AC156" s="25" t="n">
        <f aca="false">IF(OR(D156="ACTIVE",D156="CONSULTATION"),1,0)</f>
        <v>1</v>
      </c>
    </row>
    <row r="157" customFormat="false" ht="15" hidden="false" customHeight="false" outlineLevel="0" collapsed="false">
      <c r="A157" s="6" t="s">
        <v>406</v>
      </c>
      <c r="B157" s="6" t="s">
        <v>409</v>
      </c>
      <c r="C157" s="2" t="s">
        <v>280</v>
      </c>
      <c r="D157" s="2" t="s">
        <v>320</v>
      </c>
      <c r="E157" s="2" t="s">
        <v>196</v>
      </c>
      <c r="F157" s="25" t="n">
        <v>60</v>
      </c>
      <c r="G157" s="25" t="n">
        <v>60</v>
      </c>
      <c r="H157" s="26" t="n">
        <v>0.2</v>
      </c>
      <c r="I157" s="18" t="n">
        <v>145</v>
      </c>
      <c r="J157" s="18" t="n">
        <f aca="false">I157/(1+H157*$B$5)</f>
        <v>120.833333333333</v>
      </c>
      <c r="K157" s="27" t="n">
        <v>35</v>
      </c>
      <c r="L157" s="18" t="n">
        <f aca="false">G157/60*Machinery!$H$13*Assumptions!$B$23/100</f>
        <v>0.0054</v>
      </c>
      <c r="M157" s="18" t="n">
        <f aca="false">G157/60*Machinery!$K$13</f>
        <v>0.462962962962963</v>
      </c>
      <c r="N157" s="18" t="n">
        <f aca="false">G157/60*Machinery!$L$13</f>
        <v>3.47222222222222</v>
      </c>
      <c r="O157" s="18" t="n">
        <f aca="false">F157/60*Assumptions!$B$20</f>
        <v>34.463768115942</v>
      </c>
      <c r="P157" s="18" t="n">
        <f aca="false">I157*Assumptions!$B$34*Assumptions!$B$35</f>
        <v>2.34175</v>
      </c>
      <c r="Q157" s="18" t="n">
        <f aca="false">SUM(K157:P157)</f>
        <v>75.7461033011272</v>
      </c>
      <c r="R157" s="18" t="n">
        <f aca="false">J157-Q157</f>
        <v>45.0872300322061</v>
      </c>
      <c r="S157" s="28" t="n">
        <f aca="false">IF(J157=0,0,R157/J157)</f>
        <v>0.373135696818258</v>
      </c>
      <c r="T157" s="26" t="n">
        <f aca="false">INDEX($B$13:$B$25,MATCH(E157,$A$13:$A$25,0))</f>
        <v>0.65</v>
      </c>
      <c r="U157" s="18" t="n">
        <f aca="false">SUM(K157:O157)/(1-T157-Assumptions!$B$34*Assumptions!$B$35*(1+H157*$B$5))</f>
        <v>222.020305187609</v>
      </c>
      <c r="V157" s="18" t="n">
        <f aca="false">MROUND(U157*(1+H157*$B$5),$B$6)</f>
        <v>266</v>
      </c>
      <c r="W157" s="26" t="n">
        <f aca="false">IF(I157=0,0,V157/I157-1)</f>
        <v>0.83448275862069</v>
      </c>
      <c r="X157" s="29" t="n">
        <f aca="false">MROUND(V157*3*(1-$B$7),$B$6)</f>
        <v>718</v>
      </c>
      <c r="Y157" s="29" t="n">
        <f aca="false">MROUND(V157*6*(1-$B$8),$B$6)</f>
        <v>1357</v>
      </c>
      <c r="Z157" s="29" t="n">
        <f aca="false">MROUND(V157*10*(1-$B$9),$B$6)</f>
        <v>2128</v>
      </c>
      <c r="AC157" s="25" t="n">
        <f aca="false">IF(OR(D157="ACTIVE",D157="CONSULTATION"),1,0)</f>
        <v>1</v>
      </c>
    </row>
    <row r="158" customFormat="false" ht="15" hidden="false" customHeight="false" outlineLevel="0" collapsed="false">
      <c r="A158" s="6" t="s">
        <v>410</v>
      </c>
      <c r="B158" s="6" t="s">
        <v>411</v>
      </c>
      <c r="C158" s="2" t="s">
        <v>280</v>
      </c>
      <c r="D158" s="2" t="s">
        <v>320</v>
      </c>
      <c r="E158" s="2" t="s">
        <v>191</v>
      </c>
      <c r="F158" s="25" t="n">
        <v>40</v>
      </c>
      <c r="G158" s="25" t="n">
        <v>40</v>
      </c>
      <c r="H158" s="26" t="n">
        <v>0.2</v>
      </c>
      <c r="I158" s="18" t="n">
        <v>75</v>
      </c>
      <c r="J158" s="18" t="n">
        <f aca="false">I158/(1+H158*$B$5)</f>
        <v>62.5</v>
      </c>
      <c r="K158" s="27" t="n">
        <v>2</v>
      </c>
      <c r="L158" s="18" t="n">
        <f aca="false">G158/60*Machinery!$H$12*Assumptions!$B$23/100</f>
        <v>0.063</v>
      </c>
      <c r="M158" s="18" t="n">
        <f aca="false">G158/60*Machinery!$K$12</f>
        <v>2.16049382716049</v>
      </c>
      <c r="N158" s="18" t="n">
        <f aca="false">G158/60*Machinery!$L$12</f>
        <v>4.76190476190476</v>
      </c>
      <c r="O158" s="18" t="n">
        <f aca="false">F158/60*Assumptions!$B$20</f>
        <v>22.975845410628</v>
      </c>
      <c r="P158" s="18" t="n">
        <f aca="false">I158*Assumptions!$B$34*Assumptions!$B$35</f>
        <v>1.21125</v>
      </c>
      <c r="Q158" s="18" t="n">
        <f aca="false">SUM(K158:P158)</f>
        <v>33.1724939996933</v>
      </c>
      <c r="R158" s="18" t="n">
        <f aca="false">J158-Q158</f>
        <v>29.3275060003067</v>
      </c>
      <c r="S158" s="28" t="n">
        <f aca="false">IF(J158=0,0,R158/J158)</f>
        <v>0.469240096004908</v>
      </c>
      <c r="T158" s="26" t="n">
        <f aca="false">INDEX($B$13:$B$25,MATCH(E158,$A$13:$A$25,0))</f>
        <v>0.7</v>
      </c>
      <c r="U158" s="18" t="n">
        <f aca="false">SUM(K158:O158)/(1-T158-Assumptions!$B$34*Assumptions!$B$35*(1+H158*$B$5))</f>
        <v>113.895103697859</v>
      </c>
      <c r="V158" s="18" t="n">
        <f aca="false">MROUND(U158*(1+H158*$B$5),$B$6)</f>
        <v>137</v>
      </c>
      <c r="W158" s="26" t="n">
        <f aca="false">IF(I158=0,0,V158/I158-1)</f>
        <v>0.826666666666667</v>
      </c>
      <c r="X158" s="29" t="n">
        <f aca="false">MROUND(V158*3*(1-$B$7),$B$6)</f>
        <v>370</v>
      </c>
      <c r="Y158" s="29" t="n">
        <f aca="false">MROUND(V158*6*(1-$B$8),$B$6)</f>
        <v>699</v>
      </c>
      <c r="Z158" s="29" t="n">
        <f aca="false">MROUND(V158*10*(1-$B$9),$B$6)</f>
        <v>1096</v>
      </c>
      <c r="AC158" s="25" t="n">
        <f aca="false">IF(OR(D158="ACTIVE",D158="CONSULTATION"),1,0)</f>
        <v>1</v>
      </c>
    </row>
    <row r="159" customFormat="false" ht="15" hidden="false" customHeight="false" outlineLevel="0" collapsed="false">
      <c r="A159" s="6" t="s">
        <v>410</v>
      </c>
      <c r="B159" s="6" t="s">
        <v>412</v>
      </c>
      <c r="C159" s="2" t="s">
        <v>280</v>
      </c>
      <c r="D159" s="2" t="s">
        <v>320</v>
      </c>
      <c r="E159" s="2" t="s">
        <v>191</v>
      </c>
      <c r="F159" s="25" t="n">
        <v>50</v>
      </c>
      <c r="G159" s="25" t="n">
        <v>50</v>
      </c>
      <c r="H159" s="26" t="n">
        <v>0.2</v>
      </c>
      <c r="I159" s="18" t="n">
        <v>105</v>
      </c>
      <c r="J159" s="18" t="n">
        <f aca="false">I159/(1+H159*$B$5)</f>
        <v>87.5</v>
      </c>
      <c r="K159" s="27" t="n">
        <v>2</v>
      </c>
      <c r="L159" s="18" t="n">
        <f aca="false">G159/60*Machinery!$H$12*Assumptions!$B$23/100</f>
        <v>0.07875</v>
      </c>
      <c r="M159" s="18" t="n">
        <f aca="false">G159/60*Machinery!$K$12</f>
        <v>2.70061728395062</v>
      </c>
      <c r="N159" s="18" t="n">
        <f aca="false">G159/60*Machinery!$L$12</f>
        <v>5.95238095238095</v>
      </c>
      <c r="O159" s="18" t="n">
        <f aca="false">F159/60*Assumptions!$B$20</f>
        <v>28.719806763285</v>
      </c>
      <c r="P159" s="18" t="n">
        <f aca="false">I159*Assumptions!$B$34*Assumptions!$B$35</f>
        <v>1.69575</v>
      </c>
      <c r="Q159" s="18" t="n">
        <f aca="false">SUM(K159:P159)</f>
        <v>41.1473049996166</v>
      </c>
      <c r="R159" s="18" t="n">
        <f aca="false">J159-Q159</f>
        <v>46.3526950003834</v>
      </c>
      <c r="S159" s="28" t="n">
        <f aca="false">IF(J159=0,0,R159/J159)</f>
        <v>0.529745085718668</v>
      </c>
      <c r="T159" s="26" t="n">
        <f aca="false">INDEX($B$13:$B$25,MATCH(E159,$A$13:$A$25,0))</f>
        <v>0.7</v>
      </c>
      <c r="U159" s="18" t="n">
        <f aca="false">SUM(K159:O159)/(1-T159-Assumptions!$B$34*Assumptions!$B$35*(1+H159*$B$5))</f>
        <v>140.58711068212</v>
      </c>
      <c r="V159" s="18" t="n">
        <f aca="false">MROUND(U159*(1+H159*$B$5),$B$6)</f>
        <v>169</v>
      </c>
      <c r="W159" s="26" t="n">
        <f aca="false">IF(I159=0,0,V159/I159-1)</f>
        <v>0.60952380952381</v>
      </c>
      <c r="X159" s="29" t="n">
        <f aca="false">MROUND(V159*3*(1-$B$7),$B$6)</f>
        <v>456</v>
      </c>
      <c r="Y159" s="29" t="n">
        <f aca="false">MROUND(V159*6*(1-$B$8),$B$6)</f>
        <v>862</v>
      </c>
      <c r="Z159" s="29" t="n">
        <f aca="false">MROUND(V159*10*(1-$B$9),$B$6)</f>
        <v>1352</v>
      </c>
      <c r="AC159" s="25" t="n">
        <f aca="false">IF(OR(D159="ACTIVE",D159="CONSULTATION"),1,0)</f>
        <v>1</v>
      </c>
    </row>
    <row r="160" customFormat="false" ht="15" hidden="false" customHeight="false" outlineLevel="0" collapsed="false">
      <c r="A160" s="6" t="s">
        <v>410</v>
      </c>
      <c r="B160" s="6" t="s">
        <v>413</v>
      </c>
      <c r="C160" s="2" t="s">
        <v>280</v>
      </c>
      <c r="D160" s="2" t="s">
        <v>320</v>
      </c>
      <c r="E160" s="2" t="s">
        <v>191</v>
      </c>
      <c r="F160" s="25" t="n">
        <v>70</v>
      </c>
      <c r="G160" s="25" t="n">
        <v>70</v>
      </c>
      <c r="H160" s="26" t="n">
        <v>0.2</v>
      </c>
      <c r="I160" s="18" t="n">
        <v>120</v>
      </c>
      <c r="J160" s="18" t="n">
        <f aca="false">I160/(1+H160*$B$5)</f>
        <v>100</v>
      </c>
      <c r="K160" s="27" t="n">
        <v>2</v>
      </c>
      <c r="L160" s="18" t="n">
        <f aca="false">G160/60*Machinery!$H$12*Assumptions!$B$23/100</f>
        <v>0.11025</v>
      </c>
      <c r="M160" s="18" t="n">
        <f aca="false">G160/60*Machinery!$K$12</f>
        <v>3.78086419753087</v>
      </c>
      <c r="N160" s="18" t="n">
        <f aca="false">G160/60*Machinery!$L$12</f>
        <v>8.33333333333333</v>
      </c>
      <c r="O160" s="18" t="n">
        <f aca="false">F160/60*Assumptions!$B$20</f>
        <v>40.207729468599</v>
      </c>
      <c r="P160" s="18" t="n">
        <f aca="false">I160*Assumptions!$B$34*Assumptions!$B$35</f>
        <v>1.938</v>
      </c>
      <c r="Q160" s="18" t="n">
        <f aca="false">SUM(K160:P160)</f>
        <v>56.3701769994632</v>
      </c>
      <c r="R160" s="18" t="n">
        <f aca="false">J160-Q160</f>
        <v>43.6298230005368</v>
      </c>
      <c r="S160" s="28" t="n">
        <f aca="false">IF(J160=0,0,R160/J160)</f>
        <v>0.436298230005368</v>
      </c>
      <c r="T160" s="26" t="n">
        <f aca="false">INDEX($B$13:$B$25,MATCH(E160,$A$13:$A$25,0))</f>
        <v>0.7</v>
      </c>
      <c r="U160" s="18" t="n">
        <f aca="false">SUM(K160:O160)/(1-T160-Assumptions!$B$34*Assumptions!$B$35*(1+H160*$B$5))</f>
        <v>193.971124650642</v>
      </c>
      <c r="V160" s="18" t="n">
        <f aca="false">MROUND(U160*(1+H160*$B$5),$B$6)</f>
        <v>233</v>
      </c>
      <c r="W160" s="26" t="n">
        <f aca="false">IF(I160=0,0,V160/I160-1)</f>
        <v>0.941666666666667</v>
      </c>
      <c r="X160" s="29" t="n">
        <f aca="false">MROUND(V160*3*(1-$B$7),$B$6)</f>
        <v>629</v>
      </c>
      <c r="Y160" s="29" t="n">
        <f aca="false">MROUND(V160*6*(1-$B$8),$B$6)</f>
        <v>1188</v>
      </c>
      <c r="Z160" s="29" t="n">
        <f aca="false">MROUND(V160*10*(1-$B$9),$B$6)</f>
        <v>1864</v>
      </c>
      <c r="AC160" s="25" t="n">
        <f aca="false">IF(OR(D160="ACTIVE",D160="CONSULTATION"),1,0)</f>
        <v>1</v>
      </c>
    </row>
    <row r="161" customFormat="false" ht="15" hidden="false" customHeight="false" outlineLevel="0" collapsed="false">
      <c r="A161" s="6" t="s">
        <v>414</v>
      </c>
      <c r="B161" s="6" t="s">
        <v>415</v>
      </c>
      <c r="C161" s="2" t="s">
        <v>280</v>
      </c>
      <c r="D161" s="2" t="s">
        <v>320</v>
      </c>
      <c r="E161" s="2" t="s">
        <v>187</v>
      </c>
      <c r="F161" s="25" t="n">
        <v>60</v>
      </c>
      <c r="G161" s="25" t="n">
        <v>60</v>
      </c>
      <c r="H161" s="26" t="n">
        <v>0.2</v>
      </c>
      <c r="I161" s="18" t="n">
        <v>95</v>
      </c>
      <c r="J161" s="18" t="n">
        <f aca="false">I161/(1+H161*$B$5)</f>
        <v>79.1666666666667</v>
      </c>
      <c r="K161" s="27" t="n">
        <v>8</v>
      </c>
      <c r="L161" s="18" t="n">
        <f aca="false">G161/60*Machinery!$H$11*Assumptions!$B$23/100</f>
        <v>0.054</v>
      </c>
      <c r="M161" s="18" t="n">
        <f aca="false">G161/60*Machinery!$K$11</f>
        <v>2.08333333333333</v>
      </c>
      <c r="N161" s="18" t="n">
        <f aca="false">G161/60*Machinery!$L$11</f>
        <v>5.78703703703704</v>
      </c>
      <c r="O161" s="18" t="n">
        <f aca="false">F161/60*Assumptions!$B$20</f>
        <v>34.463768115942</v>
      </c>
      <c r="P161" s="18" t="n">
        <f aca="false">I161*Assumptions!$B$34*Assumptions!$B$35</f>
        <v>1.53425</v>
      </c>
      <c r="Q161" s="18" t="n">
        <f aca="false">SUM(K161:P161)</f>
        <v>51.9223884863124</v>
      </c>
      <c r="R161" s="18" t="n">
        <f aca="false">J161-Q161</f>
        <v>27.2442781803543</v>
      </c>
      <c r="S161" s="28" t="n">
        <f aca="false">IF(J161=0,0,R161/J161)</f>
        <v>0.344138250699212</v>
      </c>
      <c r="T161" s="26" t="n">
        <f aca="false">INDEX($B$13:$B$25,MATCH(E161,$A$13:$A$25,0))</f>
        <v>0.65</v>
      </c>
      <c r="U161" s="18" t="n">
        <f aca="false">SUM(K161:O161)/(1-T161-Assumptions!$B$34*Assumptions!$B$35*(1+H161*$B$5))</f>
        <v>152.404992094587</v>
      </c>
      <c r="V161" s="18" t="n">
        <f aca="false">MROUND(U161*(1+H161*$B$5),$B$6)</f>
        <v>183</v>
      </c>
      <c r="W161" s="26" t="n">
        <f aca="false">IF(I161=0,0,V161/I161-1)</f>
        <v>0.926315789473684</v>
      </c>
      <c r="X161" s="29" t="n">
        <f aca="false">MROUND(V161*3*(1-$B$7),$B$6)</f>
        <v>494</v>
      </c>
      <c r="Y161" s="29" t="n">
        <f aca="false">MROUND(V161*6*(1-$B$8),$B$6)</f>
        <v>933</v>
      </c>
      <c r="Z161" s="29" t="n">
        <f aca="false">MROUND(V161*10*(1-$B$9),$B$6)</f>
        <v>1464</v>
      </c>
      <c r="AC161" s="25" t="n">
        <f aca="false">IF(OR(D161="ACTIVE",D161="CONSULTATION"),1,0)</f>
        <v>1</v>
      </c>
    </row>
    <row r="162" customFormat="false" ht="15" hidden="false" customHeight="false" outlineLevel="0" collapsed="false">
      <c r="A162" s="6" t="s">
        <v>414</v>
      </c>
      <c r="B162" s="6" t="s">
        <v>416</v>
      </c>
      <c r="C162" s="2" t="s">
        <v>280</v>
      </c>
      <c r="D162" s="2" t="s">
        <v>320</v>
      </c>
      <c r="E162" s="2" t="s">
        <v>187</v>
      </c>
      <c r="F162" s="25" t="n">
        <v>70</v>
      </c>
      <c r="G162" s="25" t="n">
        <v>70</v>
      </c>
      <c r="H162" s="26" t="n">
        <v>0.2</v>
      </c>
      <c r="I162" s="18" t="n">
        <v>145</v>
      </c>
      <c r="J162" s="18" t="n">
        <f aca="false">I162/(1+H162*$B$5)</f>
        <v>120.833333333333</v>
      </c>
      <c r="K162" s="27" t="n">
        <v>10</v>
      </c>
      <c r="L162" s="18" t="n">
        <f aca="false">G162/60*Machinery!$H$11*Assumptions!$B$23/100</f>
        <v>0.063</v>
      </c>
      <c r="M162" s="18" t="n">
        <f aca="false">G162/60*Machinery!$K$11</f>
        <v>2.43055555555556</v>
      </c>
      <c r="N162" s="18" t="n">
        <f aca="false">G162/60*Machinery!$L$11</f>
        <v>6.75154320987654</v>
      </c>
      <c r="O162" s="18" t="n">
        <f aca="false">F162/60*Assumptions!$B$20</f>
        <v>40.207729468599</v>
      </c>
      <c r="P162" s="18" t="n">
        <f aca="false">I162*Assumptions!$B$34*Assumptions!$B$35</f>
        <v>2.34175</v>
      </c>
      <c r="Q162" s="18" t="n">
        <f aca="false">SUM(K162:P162)</f>
        <v>61.7945782340311</v>
      </c>
      <c r="R162" s="18" t="n">
        <f aca="false">J162-Q162</f>
        <v>59.0387550993022</v>
      </c>
      <c r="S162" s="28" t="n">
        <f aca="false">IF(J162=0,0,R162/J162)</f>
        <v>0.48859659392526</v>
      </c>
      <c r="T162" s="26" t="n">
        <f aca="false">INDEX($B$13:$B$25,MATCH(E162,$A$13:$A$25,0))</f>
        <v>0.65</v>
      </c>
      <c r="U162" s="18" t="n">
        <f aca="false">SUM(K162:O162)/(1-T162-Assumptions!$B$34*Assumptions!$B$35*(1+H162*$B$5))</f>
        <v>179.822237717111</v>
      </c>
      <c r="V162" s="18" t="n">
        <f aca="false">MROUND(U162*(1+H162*$B$5),$B$6)</f>
        <v>216</v>
      </c>
      <c r="W162" s="26" t="n">
        <f aca="false">IF(I162=0,0,V162/I162-1)</f>
        <v>0.489655172413793</v>
      </c>
      <c r="X162" s="29" t="n">
        <f aca="false">MROUND(V162*3*(1-$B$7),$B$6)</f>
        <v>583</v>
      </c>
      <c r="Y162" s="29" t="n">
        <f aca="false">MROUND(V162*6*(1-$B$8),$B$6)</f>
        <v>1102</v>
      </c>
      <c r="Z162" s="29" t="n">
        <f aca="false">MROUND(V162*10*(1-$B$9),$B$6)</f>
        <v>1728</v>
      </c>
      <c r="AC162" s="25" t="n">
        <f aca="false">IF(OR(D162="ACTIVE",D162="CONSULTATION"),1,0)</f>
        <v>1</v>
      </c>
    </row>
    <row r="163" customFormat="false" ht="15" hidden="false" customHeight="false" outlineLevel="0" collapsed="false">
      <c r="A163" s="6" t="s">
        <v>414</v>
      </c>
      <c r="B163" s="6" t="s">
        <v>417</v>
      </c>
      <c r="C163" s="2" t="s">
        <v>280</v>
      </c>
      <c r="D163" s="2" t="s">
        <v>320</v>
      </c>
      <c r="E163" s="2" t="s">
        <v>187</v>
      </c>
      <c r="F163" s="25" t="n">
        <v>70</v>
      </c>
      <c r="G163" s="25" t="n">
        <v>70</v>
      </c>
      <c r="H163" s="26" t="n">
        <v>0.2</v>
      </c>
      <c r="I163" s="18" t="n">
        <v>155</v>
      </c>
      <c r="J163" s="18" t="n">
        <f aca="false">I163/(1+H163*$B$5)</f>
        <v>129.166666666667</v>
      </c>
      <c r="K163" s="27" t="n">
        <v>12</v>
      </c>
      <c r="L163" s="18" t="n">
        <f aca="false">G163/60*Machinery!$H$11*Assumptions!$B$23/100</f>
        <v>0.063</v>
      </c>
      <c r="M163" s="18" t="n">
        <f aca="false">G163/60*Machinery!$K$11</f>
        <v>2.43055555555556</v>
      </c>
      <c r="N163" s="18" t="n">
        <f aca="false">G163/60*Machinery!$L$11</f>
        <v>6.75154320987654</v>
      </c>
      <c r="O163" s="18" t="n">
        <f aca="false">F163/60*Assumptions!$B$20</f>
        <v>40.207729468599</v>
      </c>
      <c r="P163" s="18" t="n">
        <f aca="false">I163*Assumptions!$B$34*Assumptions!$B$35</f>
        <v>2.50325</v>
      </c>
      <c r="Q163" s="18" t="n">
        <f aca="false">SUM(K163:P163)</f>
        <v>63.9560782340311</v>
      </c>
      <c r="R163" s="18" t="n">
        <f aca="false">J163-Q163</f>
        <v>65.2105884326356</v>
      </c>
      <c r="S163" s="28" t="n">
        <f aca="false">IF(J163=0,0,R163/J163)</f>
        <v>0.504856168510727</v>
      </c>
      <c r="T163" s="26" t="n">
        <f aca="false">INDEX($B$13:$B$25,MATCH(E163,$A$13:$A$25,0))</f>
        <v>0.65</v>
      </c>
      <c r="U163" s="18" t="n">
        <f aca="false">SUM(K163:O163)/(1-T163-Assumptions!$B$34*Assumptions!$B$35*(1+H163*$B$5))</f>
        <v>185.871478537388</v>
      </c>
      <c r="V163" s="18" t="n">
        <f aca="false">MROUND(U163*(1+H163*$B$5),$B$6)</f>
        <v>223</v>
      </c>
      <c r="W163" s="26" t="n">
        <f aca="false">IF(I163=0,0,V163/I163-1)</f>
        <v>0.438709677419355</v>
      </c>
      <c r="X163" s="29" t="n">
        <f aca="false">MROUND(V163*3*(1-$B$7),$B$6)</f>
        <v>602</v>
      </c>
      <c r="Y163" s="29" t="n">
        <f aca="false">MROUND(V163*6*(1-$B$8),$B$6)</f>
        <v>1137</v>
      </c>
      <c r="Z163" s="29" t="n">
        <f aca="false">MROUND(V163*10*(1-$B$9),$B$6)</f>
        <v>1784</v>
      </c>
      <c r="AC163" s="25" t="n">
        <f aca="false">IF(OR(D163="ACTIVE",D163="CONSULTATION"),1,0)</f>
        <v>1</v>
      </c>
    </row>
    <row r="164" customFormat="false" ht="15" hidden="false" customHeight="false" outlineLevel="0" collapsed="false">
      <c r="A164" s="6" t="s">
        <v>414</v>
      </c>
      <c r="B164" s="6" t="s">
        <v>418</v>
      </c>
      <c r="C164" s="2" t="s">
        <v>280</v>
      </c>
      <c r="D164" s="2" t="s">
        <v>320</v>
      </c>
      <c r="E164" s="2" t="s">
        <v>187</v>
      </c>
      <c r="F164" s="25" t="n">
        <v>70</v>
      </c>
      <c r="G164" s="25" t="n">
        <v>70</v>
      </c>
      <c r="H164" s="26" t="n">
        <v>0.2</v>
      </c>
      <c r="I164" s="18" t="n">
        <v>175</v>
      </c>
      <c r="J164" s="18" t="n">
        <f aca="false">I164/(1+H164*$B$5)</f>
        <v>145.833333333333</v>
      </c>
      <c r="K164" s="27" t="n">
        <v>15</v>
      </c>
      <c r="L164" s="18" t="n">
        <f aca="false">G164/60*Machinery!$H$11*Assumptions!$B$23/100</f>
        <v>0.063</v>
      </c>
      <c r="M164" s="18" t="n">
        <f aca="false">G164/60*Machinery!$K$11</f>
        <v>2.43055555555556</v>
      </c>
      <c r="N164" s="18" t="n">
        <f aca="false">G164/60*Machinery!$L$11</f>
        <v>6.75154320987654</v>
      </c>
      <c r="O164" s="18" t="n">
        <f aca="false">F164/60*Assumptions!$B$20</f>
        <v>40.207729468599</v>
      </c>
      <c r="P164" s="18" t="n">
        <f aca="false">I164*Assumptions!$B$34*Assumptions!$B$35</f>
        <v>2.82625</v>
      </c>
      <c r="Q164" s="18" t="n">
        <f aca="false">SUM(K164:P164)</f>
        <v>67.2790782340312</v>
      </c>
      <c r="R164" s="18" t="n">
        <f aca="false">J164-Q164</f>
        <v>78.5542550993022</v>
      </c>
      <c r="S164" s="28" t="n">
        <f aca="false">IF(J164=0,0,R164/J164)</f>
        <v>0.538657749252358</v>
      </c>
      <c r="T164" s="26" t="n">
        <f aca="false">INDEX($B$13:$B$25,MATCH(E164,$A$13:$A$25,0))</f>
        <v>0.65</v>
      </c>
      <c r="U164" s="18" t="n">
        <f aca="false">SUM(K164:O164)/(1-T164-Assumptions!$B$34*Assumptions!$B$35*(1+H164*$B$5))</f>
        <v>194.945339767803</v>
      </c>
      <c r="V164" s="18" t="n">
        <f aca="false">MROUND(U164*(1+H164*$B$5),$B$6)</f>
        <v>234</v>
      </c>
      <c r="W164" s="26" t="n">
        <f aca="false">IF(I164=0,0,V164/I164-1)</f>
        <v>0.337142857142857</v>
      </c>
      <c r="X164" s="29" t="n">
        <f aca="false">MROUND(V164*3*(1-$B$7),$B$6)</f>
        <v>632</v>
      </c>
      <c r="Y164" s="29" t="n">
        <f aca="false">MROUND(V164*6*(1-$B$8),$B$6)</f>
        <v>1193</v>
      </c>
      <c r="Z164" s="29" t="n">
        <f aca="false">MROUND(V164*10*(1-$B$9),$B$6)</f>
        <v>1872</v>
      </c>
      <c r="AC164" s="25" t="n">
        <f aca="false">IF(OR(D164="ACTIVE",D164="CONSULTATION"),1,0)</f>
        <v>1</v>
      </c>
    </row>
    <row r="165" customFormat="false" ht="15" hidden="false" customHeight="false" outlineLevel="0" collapsed="false">
      <c r="A165" s="6" t="s">
        <v>419</v>
      </c>
      <c r="B165" s="6" t="s">
        <v>420</v>
      </c>
      <c r="C165" s="2" t="s">
        <v>280</v>
      </c>
      <c r="D165" s="2" t="s">
        <v>320</v>
      </c>
      <c r="E165" s="2" t="s">
        <v>205</v>
      </c>
      <c r="F165" s="25" t="n">
        <v>30</v>
      </c>
      <c r="G165" s="25" t="n">
        <v>30</v>
      </c>
      <c r="H165" s="26" t="n">
        <v>0.2</v>
      </c>
      <c r="I165" s="18" t="n">
        <v>45</v>
      </c>
      <c r="J165" s="18" t="n">
        <f aca="false">I165/(1+H165*$B$5)</f>
        <v>37.5</v>
      </c>
      <c r="K165" s="27" t="n">
        <v>1</v>
      </c>
      <c r="L165" s="18" t="n">
        <f aca="false">G165/60*Machinery!$H$15*Assumptions!$B$23/100</f>
        <v>0.0135</v>
      </c>
      <c r="M165" s="18" t="n">
        <f aca="false">G165/60*Machinery!$K$15</f>
        <v>1.25</v>
      </c>
      <c r="N165" s="18" t="n">
        <f aca="false">G165/60*Machinery!$L$15</f>
        <v>3.125</v>
      </c>
      <c r="O165" s="18" t="n">
        <f aca="false">F165/60*Assumptions!$B$20</f>
        <v>17.231884057971</v>
      </c>
      <c r="P165" s="18" t="n">
        <f aca="false">I165*Assumptions!$B$34*Assumptions!$B$35</f>
        <v>0.72675</v>
      </c>
      <c r="Q165" s="18" t="n">
        <f aca="false">SUM(K165:P165)</f>
        <v>23.347134057971</v>
      </c>
      <c r="R165" s="18" t="n">
        <f aca="false">J165-Q165</f>
        <v>14.152865942029</v>
      </c>
      <c r="S165" s="28" t="n">
        <f aca="false">IF(J165=0,0,R165/J165)</f>
        <v>0.377409758454106</v>
      </c>
      <c r="T165" s="26" t="n">
        <f aca="false">INDEX($B$13:$B$25,MATCH(E165,$A$13:$A$25,0))</f>
        <v>0.7</v>
      </c>
      <c r="U165" s="18" t="n">
        <f aca="false">SUM(K165:O165)/(1-T165-Assumptions!$B$34*Assumptions!$B$35*(1+H165*$B$5))</f>
        <v>80.6085954599494</v>
      </c>
      <c r="V165" s="18" t="n">
        <f aca="false">MROUND(U165*(1+H165*$B$5),$B$6)</f>
        <v>97</v>
      </c>
      <c r="W165" s="26" t="n">
        <f aca="false">IF(I165=0,0,V165/I165-1)</f>
        <v>1.15555555555556</v>
      </c>
      <c r="X165" s="29" t="n">
        <f aca="false">MROUND(V165*3*(1-$B$7),$B$6)</f>
        <v>262</v>
      </c>
      <c r="Y165" s="29" t="n">
        <f aca="false">MROUND(V165*6*(1-$B$8),$B$6)</f>
        <v>495</v>
      </c>
      <c r="Z165" s="29" t="n">
        <f aca="false">MROUND(V165*10*(1-$B$9),$B$6)</f>
        <v>776</v>
      </c>
      <c r="AC165" s="25" t="n">
        <f aca="false">IF(OR(D165="ACTIVE",D165="CONSULTATION"),1,0)</f>
        <v>1</v>
      </c>
    </row>
    <row r="166" customFormat="false" ht="15" hidden="false" customHeight="false" outlineLevel="0" collapsed="false">
      <c r="A166" s="6" t="s">
        <v>421</v>
      </c>
      <c r="B166" s="6" t="s">
        <v>422</v>
      </c>
      <c r="C166" s="2" t="s">
        <v>280</v>
      </c>
      <c r="D166" s="2" t="s">
        <v>320</v>
      </c>
      <c r="E166" s="2" t="s">
        <v>215</v>
      </c>
      <c r="F166" s="25" t="n">
        <v>30</v>
      </c>
      <c r="G166" s="25" t="n">
        <v>0</v>
      </c>
      <c r="H166" s="26" t="n">
        <v>0.2</v>
      </c>
      <c r="I166" s="18" t="n">
        <v>45</v>
      </c>
      <c r="J166" s="18" t="n">
        <f aca="false">I166/(1+H166*$B$5)</f>
        <v>37.5</v>
      </c>
      <c r="K166" s="27" t="n">
        <v>2</v>
      </c>
      <c r="L166" s="18" t="n">
        <f aca="false">G166/60*Machinery!$H$17*Assumptions!$B$23/100</f>
        <v>0</v>
      </c>
      <c r="M166" s="18" t="n">
        <f aca="false">G166/60*Machinery!$K$17</f>
        <v>0</v>
      </c>
      <c r="N166" s="18" t="n">
        <f aca="false">G166/60*Machinery!$L$17</f>
        <v>0</v>
      </c>
      <c r="O166" s="18" t="n">
        <f aca="false">F166/60*Assumptions!$B$20</f>
        <v>17.231884057971</v>
      </c>
      <c r="P166" s="18" t="n">
        <f aca="false">I166*Assumptions!$B$34*Assumptions!$B$35</f>
        <v>0.72675</v>
      </c>
      <c r="Q166" s="18" t="n">
        <f aca="false">SUM(K166:P166)</f>
        <v>19.958634057971</v>
      </c>
      <c r="R166" s="18" t="n">
        <f aca="false">J166-Q166</f>
        <v>17.541365942029</v>
      </c>
      <c r="S166" s="28" t="n">
        <f aca="false">IF(J166=0,0,R166/J166)</f>
        <v>0.467769758454106</v>
      </c>
      <c r="T166" s="26" t="n">
        <f aca="false">INDEX($B$13:$B$25,MATCH(E166,$A$13:$A$25,0))</f>
        <v>0.65</v>
      </c>
      <c r="U166" s="18" t="n">
        <f aca="false">SUM(K166:O166)/(1-T166-Assumptions!$B$34*Assumptions!$B$35*(1+H166*$B$5))</f>
        <v>58.1691490471569</v>
      </c>
      <c r="V166" s="18" t="n">
        <f aca="false">MROUND(U166*(1+H166*$B$5),$B$6)</f>
        <v>70</v>
      </c>
      <c r="W166" s="26" t="n">
        <f aca="false">IF(I166=0,0,V166/I166-1)</f>
        <v>0.555555555555556</v>
      </c>
      <c r="X166" s="29" t="n">
        <f aca="false">MROUND(V166*3*(1-$B$7),$B$6)</f>
        <v>189</v>
      </c>
      <c r="Y166" s="29" t="n">
        <f aca="false">MROUND(V166*6*(1-$B$8),$B$6)</f>
        <v>357</v>
      </c>
      <c r="Z166" s="29" t="n">
        <f aca="false">MROUND(V166*10*(1-$B$9),$B$6)</f>
        <v>560</v>
      </c>
      <c r="AC166" s="25" t="n">
        <f aca="false">IF(OR(D166="ACTIVE",D166="CONSULTATION"),1,0)</f>
        <v>1</v>
      </c>
    </row>
    <row r="167" customFormat="false" ht="15" hidden="false" customHeight="false" outlineLevel="0" collapsed="false">
      <c r="A167" s="6" t="s">
        <v>421</v>
      </c>
      <c r="B167" s="6" t="s">
        <v>423</v>
      </c>
      <c r="C167" s="2" t="s">
        <v>280</v>
      </c>
      <c r="D167" s="2" t="s">
        <v>320</v>
      </c>
      <c r="E167" s="2" t="s">
        <v>215</v>
      </c>
      <c r="F167" s="25" t="n">
        <v>15</v>
      </c>
      <c r="G167" s="25" t="n">
        <v>0</v>
      </c>
      <c r="H167" s="26" t="n">
        <v>0.2</v>
      </c>
      <c r="I167" s="18" t="n">
        <v>35</v>
      </c>
      <c r="J167" s="18" t="n">
        <f aca="false">I167/(1+H167*$B$5)</f>
        <v>29.1666666666667</v>
      </c>
      <c r="K167" s="27" t="n">
        <v>1.5</v>
      </c>
      <c r="L167" s="18" t="n">
        <f aca="false">G167/60*Machinery!$H$17*Assumptions!$B$23/100</f>
        <v>0</v>
      </c>
      <c r="M167" s="18" t="n">
        <f aca="false">G167/60*Machinery!$K$17</f>
        <v>0</v>
      </c>
      <c r="N167" s="18" t="n">
        <f aca="false">G167/60*Machinery!$L$17</f>
        <v>0</v>
      </c>
      <c r="O167" s="18" t="n">
        <f aca="false">F167/60*Assumptions!$B$20</f>
        <v>8.61594202898551</v>
      </c>
      <c r="P167" s="18" t="n">
        <f aca="false">I167*Assumptions!$B$34*Assumptions!$B$35</f>
        <v>0.56525</v>
      </c>
      <c r="Q167" s="18" t="n">
        <f aca="false">SUM(K167:P167)</f>
        <v>10.6811920289855</v>
      </c>
      <c r="R167" s="18" t="n">
        <f aca="false">J167-Q167</f>
        <v>18.4854746376812</v>
      </c>
      <c r="S167" s="28" t="n">
        <f aca="false">IF(J167=0,0,R167/J167)</f>
        <v>0.633787701863354</v>
      </c>
      <c r="T167" s="26" t="n">
        <f aca="false">INDEX($B$13:$B$25,MATCH(E167,$A$13:$A$25,0))</f>
        <v>0.65</v>
      </c>
      <c r="U167" s="18" t="n">
        <f aca="false">SUM(K167:O167)/(1-T167-Assumptions!$B$34*Assumptions!$B$35*(1+H167*$B$5))</f>
        <v>30.5968847286477</v>
      </c>
      <c r="V167" s="18" t="n">
        <f aca="false">MROUND(U167*(1+H167*$B$5),$B$6)</f>
        <v>37</v>
      </c>
      <c r="W167" s="26" t="n">
        <f aca="false">IF(I167=0,0,V167/I167-1)</f>
        <v>0.0571428571428572</v>
      </c>
      <c r="X167" s="29" t="n">
        <f aca="false">MROUND(V167*3*(1-$B$7),$B$6)</f>
        <v>100</v>
      </c>
      <c r="Y167" s="29" t="n">
        <f aca="false">MROUND(V167*6*(1-$B$8),$B$6)</f>
        <v>189</v>
      </c>
      <c r="Z167" s="29" t="n">
        <f aca="false">MROUND(V167*10*(1-$B$9),$B$6)</f>
        <v>296</v>
      </c>
      <c r="AC167" s="25" t="n">
        <f aca="false">IF(OR(D167="ACTIVE",D167="CONSULTATION"),1,0)</f>
        <v>1</v>
      </c>
    </row>
    <row r="168" customFormat="false" ht="15" hidden="false" customHeight="false" outlineLevel="0" collapsed="false">
      <c r="A168" s="6" t="s">
        <v>421</v>
      </c>
      <c r="B168" s="6" t="s">
        <v>424</v>
      </c>
      <c r="C168" s="2" t="s">
        <v>280</v>
      </c>
      <c r="D168" s="2" t="s">
        <v>320</v>
      </c>
      <c r="E168" s="2" t="s">
        <v>215</v>
      </c>
      <c r="F168" s="25" t="n">
        <v>30</v>
      </c>
      <c r="G168" s="25" t="n">
        <v>0</v>
      </c>
      <c r="H168" s="26" t="n">
        <v>0.2</v>
      </c>
      <c r="I168" s="18" t="n">
        <v>55</v>
      </c>
      <c r="J168" s="18" t="n">
        <f aca="false">I168/(1+H168*$B$5)</f>
        <v>45.8333333333333</v>
      </c>
      <c r="K168" s="27" t="n">
        <v>2</v>
      </c>
      <c r="L168" s="18" t="n">
        <f aca="false">G168/60*Machinery!$H$17*Assumptions!$B$23/100</f>
        <v>0</v>
      </c>
      <c r="M168" s="18" t="n">
        <f aca="false">G168/60*Machinery!$K$17</f>
        <v>0</v>
      </c>
      <c r="N168" s="18" t="n">
        <f aca="false">G168/60*Machinery!$L$17</f>
        <v>0</v>
      </c>
      <c r="O168" s="18" t="n">
        <f aca="false">F168/60*Assumptions!$B$20</f>
        <v>17.231884057971</v>
      </c>
      <c r="P168" s="18" t="n">
        <f aca="false">I168*Assumptions!$B$34*Assumptions!$B$35</f>
        <v>0.88825</v>
      </c>
      <c r="Q168" s="18" t="n">
        <f aca="false">SUM(K168:P168)</f>
        <v>20.120134057971</v>
      </c>
      <c r="R168" s="18" t="n">
        <f aca="false">J168-Q168</f>
        <v>25.7131992753623</v>
      </c>
      <c r="S168" s="28" t="n">
        <f aca="false">IF(J168=0,0,R168/J168)</f>
        <v>0.561015256916996</v>
      </c>
      <c r="T168" s="26" t="n">
        <f aca="false">INDEX($B$13:$B$25,MATCH(E168,$A$13:$A$25,0))</f>
        <v>0.65</v>
      </c>
      <c r="U168" s="18" t="n">
        <f aca="false">SUM(K168:O168)/(1-T168-Assumptions!$B$34*Assumptions!$B$35*(1+H168*$B$5))</f>
        <v>58.1691490471569</v>
      </c>
      <c r="V168" s="18" t="n">
        <f aca="false">MROUND(U168*(1+H168*$B$5),$B$6)</f>
        <v>70</v>
      </c>
      <c r="W168" s="26" t="n">
        <f aca="false">IF(I168=0,0,V168/I168-1)</f>
        <v>0.272727272727273</v>
      </c>
      <c r="X168" s="29" t="n">
        <f aca="false">MROUND(V168*3*(1-$B$7),$B$6)</f>
        <v>189</v>
      </c>
      <c r="Y168" s="29" t="n">
        <f aca="false">MROUND(V168*6*(1-$B$8),$B$6)</f>
        <v>357</v>
      </c>
      <c r="Z168" s="29" t="n">
        <f aca="false">MROUND(V168*10*(1-$B$9),$B$6)</f>
        <v>560</v>
      </c>
      <c r="AC168" s="25" t="n">
        <f aca="false">IF(OR(D168="ACTIVE",D168="CONSULTATION"),1,0)</f>
        <v>1</v>
      </c>
    </row>
    <row r="169" customFormat="false" ht="15" hidden="false" customHeight="false" outlineLevel="0" collapsed="false">
      <c r="A169" s="6" t="s">
        <v>421</v>
      </c>
      <c r="B169" s="6" t="s">
        <v>425</v>
      </c>
      <c r="C169" s="2" t="s">
        <v>280</v>
      </c>
      <c r="D169" s="2" t="s">
        <v>320</v>
      </c>
      <c r="E169" s="2" t="s">
        <v>215</v>
      </c>
      <c r="F169" s="25" t="n">
        <v>30</v>
      </c>
      <c r="G169" s="25" t="n">
        <v>0</v>
      </c>
      <c r="H169" s="26" t="n">
        <v>0.2</v>
      </c>
      <c r="I169" s="18" t="n">
        <v>45</v>
      </c>
      <c r="J169" s="18" t="n">
        <f aca="false">I169/(1+H169*$B$5)</f>
        <v>37.5</v>
      </c>
      <c r="K169" s="27" t="n">
        <v>2</v>
      </c>
      <c r="L169" s="18" t="n">
        <f aca="false">G169/60*Machinery!$H$17*Assumptions!$B$23/100</f>
        <v>0</v>
      </c>
      <c r="M169" s="18" t="n">
        <f aca="false">G169/60*Machinery!$K$17</f>
        <v>0</v>
      </c>
      <c r="N169" s="18" t="n">
        <f aca="false">G169/60*Machinery!$L$17</f>
        <v>0</v>
      </c>
      <c r="O169" s="18" t="n">
        <f aca="false">F169/60*Assumptions!$B$20</f>
        <v>17.231884057971</v>
      </c>
      <c r="P169" s="18" t="n">
        <f aca="false">I169*Assumptions!$B$34*Assumptions!$B$35</f>
        <v>0.72675</v>
      </c>
      <c r="Q169" s="18" t="n">
        <f aca="false">SUM(K169:P169)</f>
        <v>19.958634057971</v>
      </c>
      <c r="R169" s="18" t="n">
        <f aca="false">J169-Q169</f>
        <v>17.541365942029</v>
      </c>
      <c r="S169" s="28" t="n">
        <f aca="false">IF(J169=0,0,R169/J169)</f>
        <v>0.467769758454106</v>
      </c>
      <c r="T169" s="26" t="n">
        <f aca="false">INDEX($B$13:$B$25,MATCH(E169,$A$13:$A$25,0))</f>
        <v>0.65</v>
      </c>
      <c r="U169" s="18" t="n">
        <f aca="false">SUM(K169:O169)/(1-T169-Assumptions!$B$34*Assumptions!$B$35*(1+H169*$B$5))</f>
        <v>58.1691490471569</v>
      </c>
      <c r="V169" s="18" t="n">
        <f aca="false">MROUND(U169*(1+H169*$B$5),$B$6)</f>
        <v>70</v>
      </c>
      <c r="W169" s="26" t="n">
        <f aca="false">IF(I169=0,0,V169/I169-1)</f>
        <v>0.555555555555556</v>
      </c>
      <c r="X169" s="29" t="n">
        <f aca="false">MROUND(V169*3*(1-$B$7),$B$6)</f>
        <v>189</v>
      </c>
      <c r="Y169" s="29" t="n">
        <f aca="false">MROUND(V169*6*(1-$B$8),$B$6)</f>
        <v>357</v>
      </c>
      <c r="Z169" s="29" t="n">
        <f aca="false">MROUND(V169*10*(1-$B$9),$B$6)</f>
        <v>560</v>
      </c>
      <c r="AC169" s="25" t="n">
        <f aca="false">IF(OR(D169="ACTIVE",D169="CONSULTATION"),1,0)</f>
        <v>1</v>
      </c>
    </row>
    <row r="170" customFormat="false" ht="15" hidden="false" customHeight="false" outlineLevel="0" collapsed="false">
      <c r="A170" s="6" t="s">
        <v>426</v>
      </c>
      <c r="B170" s="6" t="s">
        <v>426</v>
      </c>
      <c r="C170" s="2" t="s">
        <v>280</v>
      </c>
      <c r="D170" s="2" t="s">
        <v>320</v>
      </c>
      <c r="E170" s="2" t="s">
        <v>200</v>
      </c>
      <c r="F170" s="25" t="n">
        <v>30</v>
      </c>
      <c r="G170" s="25" t="n">
        <v>30</v>
      </c>
      <c r="H170" s="26" t="n">
        <v>0.2</v>
      </c>
      <c r="I170" s="18" t="n">
        <v>80</v>
      </c>
      <c r="J170" s="18" t="n">
        <f aca="false">I170/(1+H170*$B$5)</f>
        <v>66.6666666666667</v>
      </c>
      <c r="K170" s="27" t="n">
        <v>2</v>
      </c>
      <c r="L170" s="18" t="n">
        <f aca="false">G170/60*Machinery!$H$14*Assumptions!$B$23/100</f>
        <v>0.03375</v>
      </c>
      <c r="M170" s="18" t="n">
        <f aca="false">G170/60*Machinery!$K$14</f>
        <v>1.5625</v>
      </c>
      <c r="N170" s="18" t="n">
        <f aca="false">G170/60*Machinery!$L$14</f>
        <v>2.60416666666667</v>
      </c>
      <c r="O170" s="18" t="n">
        <f aca="false">F170/60*Assumptions!$B$20</f>
        <v>17.231884057971</v>
      </c>
      <c r="P170" s="18" t="n">
        <f aca="false">I170*Assumptions!$B$34*Assumptions!$B$35</f>
        <v>1.292</v>
      </c>
      <c r="Q170" s="18" t="n">
        <f aca="false">SUM(K170:P170)</f>
        <v>24.7243007246377</v>
      </c>
      <c r="R170" s="18" t="n">
        <f aca="false">J170-Q170</f>
        <v>41.942365942029</v>
      </c>
      <c r="S170" s="28" t="n">
        <f aca="false">IF(J170=0,0,R170/J170)</f>
        <v>0.629135489130435</v>
      </c>
      <c r="T170" s="26" t="n">
        <f aca="false">INDEX($B$13:$B$25,MATCH(E170,$A$13:$A$25,0))</f>
        <v>0.7</v>
      </c>
      <c r="U170" s="18" t="n">
        <f aca="false">SUM(K170:O170)/(1-T170-Assumptions!$B$34*Assumptions!$B$35*(1+H170*$B$5))</f>
        <v>83.5018912573504</v>
      </c>
      <c r="V170" s="18" t="n">
        <f aca="false">MROUND(U170*(1+H170*$B$5),$B$6)</f>
        <v>100</v>
      </c>
      <c r="W170" s="26" t="n">
        <f aca="false">IF(I170=0,0,V170/I170-1)</f>
        <v>0.25</v>
      </c>
      <c r="X170" s="29" t="n">
        <f aca="false">MROUND(V170*3*(1-$B$7),$B$6)</f>
        <v>270</v>
      </c>
      <c r="Y170" s="29" t="n">
        <f aca="false">MROUND(V170*6*(1-$B$8),$B$6)</f>
        <v>510</v>
      </c>
      <c r="Z170" s="29" t="n">
        <f aca="false">MROUND(V170*10*(1-$B$9),$B$6)</f>
        <v>800</v>
      </c>
      <c r="AC170" s="25" t="n">
        <f aca="false">IF(OR(D170="ACTIVE",D170="CONSULTATION"),1,0)</f>
        <v>1</v>
      </c>
    </row>
    <row r="171" customFormat="false" ht="15" hidden="false" customHeight="false" outlineLevel="0" collapsed="false">
      <c r="A171" s="6" t="s">
        <v>427</v>
      </c>
      <c r="B171" s="6" t="s">
        <v>427</v>
      </c>
      <c r="C171" s="2" t="s">
        <v>280</v>
      </c>
      <c r="D171" s="2" t="s">
        <v>320</v>
      </c>
      <c r="E171" s="2" t="s">
        <v>205</v>
      </c>
      <c r="F171" s="25" t="n">
        <v>45</v>
      </c>
      <c r="G171" s="25" t="n">
        <v>45</v>
      </c>
      <c r="H171" s="26" t="n">
        <v>0.2</v>
      </c>
      <c r="I171" s="18" t="n">
        <v>85</v>
      </c>
      <c r="J171" s="18" t="n">
        <f aca="false">I171/(1+H171*$B$5)</f>
        <v>70.8333333333333</v>
      </c>
      <c r="K171" s="27" t="n">
        <v>3</v>
      </c>
      <c r="L171" s="18" t="n">
        <f aca="false">G171/60*Machinery!$H$15*Assumptions!$B$23/100</f>
        <v>0.02025</v>
      </c>
      <c r="M171" s="18" t="n">
        <f aca="false">G171/60*Machinery!$K$15</f>
        <v>1.875</v>
      </c>
      <c r="N171" s="18" t="n">
        <f aca="false">G171/60*Machinery!$L$15</f>
        <v>4.6875</v>
      </c>
      <c r="O171" s="18" t="n">
        <f aca="false">F171/60*Assumptions!$B$20</f>
        <v>25.8478260869565</v>
      </c>
      <c r="P171" s="18" t="n">
        <f aca="false">I171*Assumptions!$B$34*Assumptions!$B$35</f>
        <v>1.37275</v>
      </c>
      <c r="Q171" s="18" t="n">
        <f aca="false">SUM(K171:P171)</f>
        <v>36.8033260869565</v>
      </c>
      <c r="R171" s="18" t="n">
        <f aca="false">J171-Q171</f>
        <v>34.0300072463768</v>
      </c>
      <c r="S171" s="28" t="n">
        <f aca="false">IF(J171=0,0,R171/J171)</f>
        <v>0.480423631713555</v>
      </c>
      <c r="T171" s="26" t="n">
        <f aca="false">INDEX($B$13:$B$25,MATCH(E171,$A$13:$A$25,0))</f>
        <v>0.7</v>
      </c>
      <c r="U171" s="18" t="n">
        <f aca="false">SUM(K171:O171)/(1-T171-Assumptions!$B$34*Assumptions!$B$35*(1+H171*$B$5))</f>
        <v>126.258200010536</v>
      </c>
      <c r="V171" s="18" t="n">
        <f aca="false">MROUND(U171*(1+H171*$B$5),$B$6)</f>
        <v>152</v>
      </c>
      <c r="W171" s="26" t="n">
        <f aca="false">IF(I171=0,0,V171/I171-1)</f>
        <v>0.788235294117647</v>
      </c>
      <c r="X171" s="29" t="n">
        <f aca="false">MROUND(V171*3*(1-$B$7),$B$6)</f>
        <v>410</v>
      </c>
      <c r="Y171" s="29" t="n">
        <f aca="false">MROUND(V171*6*(1-$B$8),$B$6)</f>
        <v>775</v>
      </c>
      <c r="Z171" s="29" t="n">
        <f aca="false">MROUND(V171*10*(1-$B$9),$B$6)</f>
        <v>1216</v>
      </c>
      <c r="AC171" s="25" t="n">
        <f aca="false">IF(OR(D171="ACTIVE",D171="CONSULTATION"),1,0)</f>
        <v>1</v>
      </c>
    </row>
    <row r="172" customFormat="false" ht="15" hidden="false" customHeight="false" outlineLevel="0" collapsed="false">
      <c r="A172" s="6" t="s">
        <v>427</v>
      </c>
      <c r="B172" s="6" t="s">
        <v>428</v>
      </c>
      <c r="C172" s="2" t="s">
        <v>280</v>
      </c>
      <c r="D172" s="2" t="s">
        <v>320</v>
      </c>
      <c r="E172" s="2" t="s">
        <v>205</v>
      </c>
      <c r="F172" s="25" t="n">
        <v>60</v>
      </c>
      <c r="G172" s="25" t="n">
        <v>60</v>
      </c>
      <c r="H172" s="26" t="n">
        <v>0.2</v>
      </c>
      <c r="I172" s="18" t="n">
        <v>140</v>
      </c>
      <c r="J172" s="18" t="n">
        <f aca="false">I172/(1+H172*$B$5)</f>
        <v>116.666666666667</v>
      </c>
      <c r="K172" s="27" t="n">
        <v>3</v>
      </c>
      <c r="L172" s="18" t="n">
        <f aca="false">G172/60*Machinery!$H$15*Assumptions!$B$23/100</f>
        <v>0.027</v>
      </c>
      <c r="M172" s="18" t="n">
        <f aca="false">G172/60*Machinery!$K$15</f>
        <v>2.5</v>
      </c>
      <c r="N172" s="18" t="n">
        <f aca="false">G172/60*Machinery!$L$15</f>
        <v>6.25</v>
      </c>
      <c r="O172" s="18" t="n">
        <f aca="false">F172/60*Assumptions!$B$20</f>
        <v>34.463768115942</v>
      </c>
      <c r="P172" s="18" t="n">
        <f aca="false">I172*Assumptions!$B$34*Assumptions!$B$35</f>
        <v>2.261</v>
      </c>
      <c r="Q172" s="18" t="n">
        <f aca="false">SUM(K172:P172)</f>
        <v>48.501768115942</v>
      </c>
      <c r="R172" s="18" t="n">
        <f aca="false">J172-Q172</f>
        <v>68.1648985507246</v>
      </c>
      <c r="S172" s="28" t="n">
        <f aca="false">IF(J172=0,0,R172/J172)</f>
        <v>0.584270559006211</v>
      </c>
      <c r="T172" s="26" t="n">
        <f aca="false">INDEX($B$13:$B$25,MATCH(E172,$A$13:$A$25,0))</f>
        <v>0.7</v>
      </c>
      <c r="U172" s="18" t="n">
        <f aca="false">SUM(K172:O172)/(1-T172-Assumptions!$B$34*Assumptions!$B$35*(1+H172*$B$5))</f>
        <v>164.780728800307</v>
      </c>
      <c r="V172" s="18" t="n">
        <f aca="false">MROUND(U172*(1+H172*$B$5),$B$6)</f>
        <v>198</v>
      </c>
      <c r="W172" s="26" t="n">
        <f aca="false">IF(I172=0,0,V172/I172-1)</f>
        <v>0.414285714285714</v>
      </c>
      <c r="X172" s="29" t="n">
        <f aca="false">MROUND(V172*3*(1-$B$7),$B$6)</f>
        <v>535</v>
      </c>
      <c r="Y172" s="29" t="n">
        <f aca="false">MROUND(V172*6*(1-$B$8),$B$6)</f>
        <v>1010</v>
      </c>
      <c r="Z172" s="29" t="n">
        <f aca="false">MROUND(V172*10*(1-$B$9),$B$6)</f>
        <v>1584</v>
      </c>
      <c r="AC172" s="25" t="n">
        <f aca="false">IF(OR(D172="ACTIVE",D172="CONSULTATION"),1,0)</f>
        <v>1</v>
      </c>
    </row>
    <row r="173" customFormat="false" ht="15" hidden="false" customHeight="false" outlineLevel="0" collapsed="false">
      <c r="A173" s="6" t="s">
        <v>427</v>
      </c>
      <c r="B173" s="6" t="s">
        <v>429</v>
      </c>
      <c r="C173" s="2" t="s">
        <v>280</v>
      </c>
      <c r="D173" s="2" t="s">
        <v>320</v>
      </c>
      <c r="E173" s="2" t="s">
        <v>205</v>
      </c>
      <c r="F173" s="25" t="n">
        <v>60</v>
      </c>
      <c r="G173" s="25" t="n">
        <v>60</v>
      </c>
      <c r="H173" s="26" t="n">
        <v>0.2</v>
      </c>
      <c r="I173" s="18" t="n">
        <v>150</v>
      </c>
      <c r="J173" s="18" t="n">
        <f aca="false">I173/(1+H173*$B$5)</f>
        <v>125</v>
      </c>
      <c r="K173" s="27" t="n">
        <v>8</v>
      </c>
      <c r="L173" s="18" t="n">
        <f aca="false">G173/60*Machinery!$H$15*Assumptions!$B$23/100</f>
        <v>0.027</v>
      </c>
      <c r="M173" s="18" t="n">
        <f aca="false">G173/60*Machinery!$K$15</f>
        <v>2.5</v>
      </c>
      <c r="N173" s="18" t="n">
        <f aca="false">G173/60*Machinery!$L$15</f>
        <v>6.25</v>
      </c>
      <c r="O173" s="18" t="n">
        <f aca="false">F173/60*Assumptions!$B$20</f>
        <v>34.463768115942</v>
      </c>
      <c r="P173" s="18" t="n">
        <f aca="false">I173*Assumptions!$B$34*Assumptions!$B$35</f>
        <v>2.4225</v>
      </c>
      <c r="Q173" s="18" t="n">
        <f aca="false">SUM(K173:P173)</f>
        <v>53.663268115942</v>
      </c>
      <c r="R173" s="18" t="n">
        <f aca="false">J173-Q173</f>
        <v>71.336731884058</v>
      </c>
      <c r="S173" s="28" t="n">
        <f aca="false">IF(J173=0,0,R173/J173)</f>
        <v>0.570693855072464</v>
      </c>
      <c r="T173" s="26" t="n">
        <f aca="false">INDEX($B$13:$B$25,MATCH(E173,$A$13:$A$25,0))</f>
        <v>0.7</v>
      </c>
      <c r="U173" s="18" t="n">
        <f aca="false">SUM(K173:O173)/(1-T173-Assumptions!$B$34*Assumptions!$B$35*(1+H173*$B$5))</f>
        <v>182.598418202345</v>
      </c>
      <c r="V173" s="18" t="n">
        <f aca="false">MROUND(U173*(1+H173*$B$5),$B$6)</f>
        <v>219</v>
      </c>
      <c r="W173" s="26" t="n">
        <f aca="false">IF(I173=0,0,V173/I173-1)</f>
        <v>0.46</v>
      </c>
      <c r="X173" s="29" t="n">
        <f aca="false">MROUND(V173*3*(1-$B$7),$B$6)</f>
        <v>591</v>
      </c>
      <c r="Y173" s="29" t="n">
        <f aca="false">MROUND(V173*6*(1-$B$8),$B$6)</f>
        <v>1117</v>
      </c>
      <c r="Z173" s="29" t="n">
        <f aca="false">MROUND(V173*10*(1-$B$9),$B$6)</f>
        <v>1752</v>
      </c>
      <c r="AC173" s="25" t="n">
        <f aca="false">IF(OR(D173="ACTIVE",D173="CONSULTATION"),1,0)</f>
        <v>1</v>
      </c>
    </row>
    <row r="174" customFormat="false" ht="15" hidden="false" customHeight="false" outlineLevel="0" collapsed="false">
      <c r="A174" s="6" t="s">
        <v>430</v>
      </c>
      <c r="B174" s="6" t="s">
        <v>431</v>
      </c>
      <c r="C174" s="2" t="s">
        <v>280</v>
      </c>
      <c r="D174" s="2" t="s">
        <v>320</v>
      </c>
      <c r="E174" s="2" t="s">
        <v>210</v>
      </c>
      <c r="F174" s="25" t="n">
        <v>40</v>
      </c>
      <c r="G174" s="25" t="n">
        <v>0</v>
      </c>
      <c r="H174" s="26" t="n">
        <v>0.2</v>
      </c>
      <c r="I174" s="18" t="n">
        <v>175</v>
      </c>
      <c r="J174" s="18" t="n">
        <f aca="false">I174/(1+H174*$B$5)</f>
        <v>145.833333333333</v>
      </c>
      <c r="K174" s="27" t="n">
        <v>45</v>
      </c>
      <c r="L174" s="18" t="n">
        <f aca="false">G174/60*Machinery!$H$16*Assumptions!$B$23/100</f>
        <v>0</v>
      </c>
      <c r="M174" s="18" t="n">
        <f aca="false">G174/60*Machinery!$K$16</f>
        <v>0</v>
      </c>
      <c r="N174" s="18" t="n">
        <f aca="false">G174/60*Machinery!$L$16</f>
        <v>0</v>
      </c>
      <c r="O174" s="18" t="n">
        <f aca="false">F174/60*Assumptions!$B$20</f>
        <v>22.975845410628</v>
      </c>
      <c r="P174" s="18" t="n">
        <f aca="false">I174*Assumptions!$B$34*Assumptions!$B$35</f>
        <v>2.82625</v>
      </c>
      <c r="Q174" s="18" t="n">
        <f aca="false">SUM(K174:P174)</f>
        <v>70.802095410628</v>
      </c>
      <c r="R174" s="18" t="n">
        <f aca="false">J174-Q174</f>
        <v>75.0312379227053</v>
      </c>
      <c r="S174" s="28" t="n">
        <f aca="false">IF(J174=0,0,R174/J174)</f>
        <v>0.514499917184265</v>
      </c>
      <c r="T174" s="26" t="n">
        <f aca="false">INDEX($B$13:$B$25,MATCH(E174,$A$13:$A$25,0))</f>
        <v>0.55</v>
      </c>
      <c r="U174" s="18" t="n">
        <f aca="false">SUM(K174:O174)/(1-T174-Assumptions!$B$34*Assumptions!$B$35*(1+H174*$B$5))</f>
        <v>157.855755447095</v>
      </c>
      <c r="V174" s="18" t="n">
        <f aca="false">MROUND(U174*(1+H174*$B$5),$B$6)</f>
        <v>189</v>
      </c>
      <c r="W174" s="26" t="n">
        <f aca="false">IF(I174=0,0,V174/I174-1)</f>
        <v>0.0800000000000001</v>
      </c>
      <c r="X174" s="29" t="n">
        <f aca="false">MROUND(V174*3*(1-$B$7),$B$6)</f>
        <v>510</v>
      </c>
      <c r="Y174" s="29" t="n">
        <f aca="false">MROUND(V174*6*(1-$B$8),$B$6)</f>
        <v>964</v>
      </c>
      <c r="Z174" s="29" t="n">
        <f aca="false">MROUND(V174*10*(1-$B$9),$B$6)</f>
        <v>1512</v>
      </c>
      <c r="AC174" s="25" t="n">
        <f aca="false">IF(OR(D174="ACTIVE",D174="CONSULTATION"),1,0)</f>
        <v>1</v>
      </c>
    </row>
    <row r="175" customFormat="false" ht="15" hidden="false" customHeight="false" outlineLevel="0" collapsed="false">
      <c r="A175" s="6" t="s">
        <v>430</v>
      </c>
      <c r="B175" s="6" t="s">
        <v>432</v>
      </c>
      <c r="C175" s="2" t="s">
        <v>280</v>
      </c>
      <c r="D175" s="2" t="s">
        <v>320</v>
      </c>
      <c r="E175" s="2" t="s">
        <v>210</v>
      </c>
      <c r="F175" s="25" t="n">
        <v>40</v>
      </c>
      <c r="G175" s="25" t="n">
        <v>0</v>
      </c>
      <c r="H175" s="26" t="n">
        <v>0.2</v>
      </c>
      <c r="I175" s="18" t="n">
        <v>200</v>
      </c>
      <c r="J175" s="18" t="n">
        <f aca="false">I175/(1+H175*$B$5)</f>
        <v>166.666666666667</v>
      </c>
      <c r="K175" s="27" t="n">
        <v>60</v>
      </c>
      <c r="L175" s="18" t="n">
        <f aca="false">G175/60*Machinery!$H$16*Assumptions!$B$23/100</f>
        <v>0</v>
      </c>
      <c r="M175" s="18" t="n">
        <f aca="false">G175/60*Machinery!$K$16</f>
        <v>0</v>
      </c>
      <c r="N175" s="18" t="n">
        <f aca="false">G175/60*Machinery!$L$16</f>
        <v>0</v>
      </c>
      <c r="O175" s="18" t="n">
        <f aca="false">F175/60*Assumptions!$B$20</f>
        <v>22.975845410628</v>
      </c>
      <c r="P175" s="18" t="n">
        <f aca="false">I175*Assumptions!$B$34*Assumptions!$B$35</f>
        <v>3.23</v>
      </c>
      <c r="Q175" s="18" t="n">
        <f aca="false">SUM(K175:P175)</f>
        <v>86.205845410628</v>
      </c>
      <c r="R175" s="18" t="n">
        <f aca="false">J175-Q175</f>
        <v>80.4608212560387</v>
      </c>
      <c r="S175" s="28" t="n">
        <f aca="false">IF(J175=0,0,R175/J175)</f>
        <v>0.482764927536232</v>
      </c>
      <c r="T175" s="26" t="n">
        <f aca="false">INDEX($B$13:$B$25,MATCH(E175,$A$13:$A$25,0))</f>
        <v>0.55</v>
      </c>
      <c r="U175" s="18" t="n">
        <f aca="false">SUM(K175:O175)/(1-T175-Assumptions!$B$34*Assumptions!$B$35*(1+H175*$B$5))</f>
        <v>192.689251336742</v>
      </c>
      <c r="V175" s="18" t="n">
        <f aca="false">MROUND(U175*(1+H175*$B$5),$B$6)</f>
        <v>231</v>
      </c>
      <c r="W175" s="26" t="n">
        <f aca="false">IF(I175=0,0,V175/I175-1)</f>
        <v>0.155</v>
      </c>
      <c r="X175" s="29" t="n">
        <f aca="false">MROUND(V175*3*(1-$B$7),$B$6)</f>
        <v>624</v>
      </c>
      <c r="Y175" s="29" t="n">
        <f aca="false">MROUND(V175*6*(1-$B$8),$B$6)</f>
        <v>1178</v>
      </c>
      <c r="Z175" s="29" t="n">
        <f aca="false">MROUND(V175*10*(1-$B$9),$B$6)</f>
        <v>1848</v>
      </c>
      <c r="AC175" s="25" t="n">
        <f aca="false">IF(OR(D175="ACTIVE",D175="CONSULTATION"),1,0)</f>
        <v>1</v>
      </c>
    </row>
    <row r="176" customFormat="false" ht="15" hidden="false" customHeight="false" outlineLevel="0" collapsed="false">
      <c r="A176" s="6" t="s">
        <v>430</v>
      </c>
      <c r="B176" s="6" t="s">
        <v>433</v>
      </c>
      <c r="C176" s="2" t="s">
        <v>280</v>
      </c>
      <c r="D176" s="2" t="s">
        <v>320</v>
      </c>
      <c r="E176" s="2" t="s">
        <v>210</v>
      </c>
      <c r="F176" s="25" t="n">
        <v>40</v>
      </c>
      <c r="G176" s="25" t="n">
        <v>0</v>
      </c>
      <c r="H176" s="26" t="n">
        <v>0.2</v>
      </c>
      <c r="I176" s="18" t="n">
        <v>250</v>
      </c>
      <c r="J176" s="18" t="n">
        <f aca="false">I176/(1+H176*$B$5)</f>
        <v>208.333333333333</v>
      </c>
      <c r="K176" s="27" t="n">
        <v>75</v>
      </c>
      <c r="L176" s="18" t="n">
        <f aca="false">G176/60*Machinery!$H$16*Assumptions!$B$23/100</f>
        <v>0</v>
      </c>
      <c r="M176" s="18" t="n">
        <f aca="false">G176/60*Machinery!$K$16</f>
        <v>0</v>
      </c>
      <c r="N176" s="18" t="n">
        <f aca="false">G176/60*Machinery!$L$16</f>
        <v>0</v>
      </c>
      <c r="O176" s="18" t="n">
        <f aca="false">F176/60*Assumptions!$B$20</f>
        <v>22.975845410628</v>
      </c>
      <c r="P176" s="18" t="n">
        <f aca="false">I176*Assumptions!$B$34*Assumptions!$B$35</f>
        <v>4.0375</v>
      </c>
      <c r="Q176" s="18" t="n">
        <f aca="false">SUM(K176:P176)</f>
        <v>102.013345410628</v>
      </c>
      <c r="R176" s="18" t="n">
        <f aca="false">J176-Q176</f>
        <v>106.319987922705</v>
      </c>
      <c r="S176" s="28" t="n">
        <f aca="false">IF(J176=0,0,R176/J176)</f>
        <v>0.510335942028986</v>
      </c>
      <c r="T176" s="26" t="n">
        <f aca="false">INDEX($B$13:$B$25,MATCH(E176,$A$13:$A$25,0))</f>
        <v>0.55</v>
      </c>
      <c r="U176" s="18" t="n">
        <f aca="false">SUM(K176:O176)/(1-T176-Assumptions!$B$34*Assumptions!$B$35*(1+H176*$B$5))</f>
        <v>227.52274722639</v>
      </c>
      <c r="V176" s="18" t="n">
        <f aca="false">MROUND(U176*(1+H176*$B$5),$B$6)</f>
        <v>273</v>
      </c>
      <c r="W176" s="26" t="n">
        <f aca="false">IF(I176=0,0,V176/I176-1)</f>
        <v>0.0920000000000001</v>
      </c>
      <c r="X176" s="29" t="n">
        <f aca="false">MROUND(V176*3*(1-$B$7),$B$6)</f>
        <v>737</v>
      </c>
      <c r="Y176" s="29" t="n">
        <f aca="false">MROUND(V176*6*(1-$B$8),$B$6)</f>
        <v>1392</v>
      </c>
      <c r="Z176" s="29" t="n">
        <f aca="false">MROUND(V176*10*(1-$B$9),$B$6)</f>
        <v>2184</v>
      </c>
      <c r="AC176" s="25" t="n">
        <f aca="false">IF(OR(D176="ACTIVE",D176="CONSULTATION"),1,0)</f>
        <v>1</v>
      </c>
    </row>
    <row r="177" customFormat="false" ht="15" hidden="false" customHeight="false" outlineLevel="0" collapsed="false">
      <c r="A177" s="6" t="s">
        <v>430</v>
      </c>
      <c r="B177" s="6" t="s">
        <v>434</v>
      </c>
      <c r="C177" s="2" t="s">
        <v>280</v>
      </c>
      <c r="D177" s="2" t="s">
        <v>320</v>
      </c>
      <c r="E177" s="2" t="s">
        <v>210</v>
      </c>
      <c r="F177" s="25" t="n">
        <v>40</v>
      </c>
      <c r="G177" s="25" t="n">
        <v>0</v>
      </c>
      <c r="H177" s="26" t="n">
        <v>0.2</v>
      </c>
      <c r="I177" s="18" t="n">
        <v>195</v>
      </c>
      <c r="J177" s="18" t="n">
        <f aca="false">I177/(1+H177*$B$5)</f>
        <v>162.5</v>
      </c>
      <c r="K177" s="27" t="n">
        <v>55</v>
      </c>
      <c r="L177" s="18" t="n">
        <f aca="false">G177/60*Machinery!$H$16*Assumptions!$B$23/100</f>
        <v>0</v>
      </c>
      <c r="M177" s="18" t="n">
        <f aca="false">G177/60*Machinery!$K$16</f>
        <v>0</v>
      </c>
      <c r="N177" s="18" t="n">
        <f aca="false">G177/60*Machinery!$L$16</f>
        <v>0</v>
      </c>
      <c r="O177" s="18" t="n">
        <f aca="false">F177/60*Assumptions!$B$20</f>
        <v>22.975845410628</v>
      </c>
      <c r="P177" s="18" t="n">
        <f aca="false">I177*Assumptions!$B$34*Assumptions!$B$35</f>
        <v>3.14925</v>
      </c>
      <c r="Q177" s="18" t="n">
        <f aca="false">SUM(K177:P177)</f>
        <v>81.125095410628</v>
      </c>
      <c r="R177" s="18" t="n">
        <f aca="false">J177-Q177</f>
        <v>81.374904589372</v>
      </c>
      <c r="S177" s="28" t="n">
        <f aca="false">IF(J177=0,0,R177/J177)</f>
        <v>0.500768643626905</v>
      </c>
      <c r="T177" s="26" t="n">
        <f aca="false">INDEX($B$13:$B$25,MATCH(E177,$A$13:$A$25,0))</f>
        <v>0.55</v>
      </c>
      <c r="U177" s="18" t="n">
        <f aca="false">SUM(K177:O177)/(1-T177-Assumptions!$B$34*Assumptions!$B$35*(1+H177*$B$5))</f>
        <v>181.078086040193</v>
      </c>
      <c r="V177" s="18" t="n">
        <f aca="false">MROUND(U177*(1+H177*$B$5),$B$6)</f>
        <v>217</v>
      </c>
      <c r="W177" s="26" t="n">
        <f aca="false">IF(I177=0,0,V177/I177-1)</f>
        <v>0.112820512820513</v>
      </c>
      <c r="X177" s="29" t="n">
        <f aca="false">MROUND(V177*3*(1-$B$7),$B$6)</f>
        <v>586</v>
      </c>
      <c r="Y177" s="29" t="n">
        <f aca="false">MROUND(V177*6*(1-$B$8),$B$6)</f>
        <v>1107</v>
      </c>
      <c r="Z177" s="29" t="n">
        <f aca="false">MROUND(V177*10*(1-$B$9),$B$6)</f>
        <v>1736</v>
      </c>
      <c r="AC177" s="25" t="n">
        <f aca="false">IF(OR(D177="ACTIVE",D177="CONSULTATION"),1,0)</f>
        <v>1</v>
      </c>
    </row>
    <row r="178" customFormat="false" ht="15" hidden="false" customHeight="false" outlineLevel="0" collapsed="false">
      <c r="A178" s="6" t="s">
        <v>430</v>
      </c>
      <c r="B178" s="6" t="s">
        <v>435</v>
      </c>
      <c r="C178" s="2" t="s">
        <v>280</v>
      </c>
      <c r="D178" s="2" t="s">
        <v>320</v>
      </c>
      <c r="E178" s="2" t="s">
        <v>210</v>
      </c>
      <c r="F178" s="25" t="n">
        <v>40</v>
      </c>
      <c r="G178" s="25" t="n">
        <v>0</v>
      </c>
      <c r="H178" s="26" t="n">
        <v>0.2</v>
      </c>
      <c r="I178" s="18" t="n">
        <v>220</v>
      </c>
      <c r="J178" s="18" t="n">
        <f aca="false">I178/(1+H178*$B$5)</f>
        <v>183.333333333333</v>
      </c>
      <c r="K178" s="27" t="n">
        <v>70</v>
      </c>
      <c r="L178" s="18" t="n">
        <f aca="false">G178/60*Machinery!$H$16*Assumptions!$B$23/100</f>
        <v>0</v>
      </c>
      <c r="M178" s="18" t="n">
        <f aca="false">G178/60*Machinery!$K$16</f>
        <v>0</v>
      </c>
      <c r="N178" s="18" t="n">
        <f aca="false">G178/60*Machinery!$L$16</f>
        <v>0</v>
      </c>
      <c r="O178" s="18" t="n">
        <f aca="false">F178/60*Assumptions!$B$20</f>
        <v>22.975845410628</v>
      </c>
      <c r="P178" s="18" t="n">
        <f aca="false">I178*Assumptions!$B$34*Assumptions!$B$35</f>
        <v>3.553</v>
      </c>
      <c r="Q178" s="18" t="n">
        <f aca="false">SUM(K178:P178)</f>
        <v>96.528845410628</v>
      </c>
      <c r="R178" s="18" t="n">
        <f aca="false">J178-Q178</f>
        <v>86.8044879227053</v>
      </c>
      <c r="S178" s="28" t="n">
        <f aca="false">IF(J178=0,0,R178/J178)</f>
        <v>0.473479025032938</v>
      </c>
      <c r="T178" s="26" t="n">
        <f aca="false">INDEX($B$13:$B$25,MATCH(E178,$A$13:$A$25,0))</f>
        <v>0.55</v>
      </c>
      <c r="U178" s="18" t="n">
        <f aca="false">SUM(K178:O178)/(1-T178-Assumptions!$B$34*Assumptions!$B$35*(1+H178*$B$5))</f>
        <v>215.911581929841</v>
      </c>
      <c r="V178" s="18" t="n">
        <f aca="false">MROUND(U178*(1+H178*$B$5),$B$6)</f>
        <v>259</v>
      </c>
      <c r="W178" s="26" t="n">
        <f aca="false">IF(I178=0,0,V178/I178-1)</f>
        <v>0.177272727272727</v>
      </c>
      <c r="X178" s="29" t="n">
        <f aca="false">MROUND(V178*3*(1-$B$7),$B$6)</f>
        <v>699</v>
      </c>
      <c r="Y178" s="29" t="n">
        <f aca="false">MROUND(V178*6*(1-$B$8),$B$6)</f>
        <v>1321</v>
      </c>
      <c r="Z178" s="29" t="n">
        <f aca="false">MROUND(V178*10*(1-$B$9),$B$6)</f>
        <v>2072</v>
      </c>
      <c r="AC178" s="25" t="n">
        <f aca="false">IF(OR(D178="ACTIVE",D178="CONSULTATION"),1,0)</f>
        <v>1</v>
      </c>
    </row>
    <row r="179" customFormat="false" ht="15" hidden="false" customHeight="false" outlineLevel="0" collapsed="false">
      <c r="A179" s="6" t="s">
        <v>430</v>
      </c>
      <c r="B179" s="6" t="s">
        <v>436</v>
      </c>
      <c r="C179" s="2" t="s">
        <v>280</v>
      </c>
      <c r="D179" s="2" t="s">
        <v>320</v>
      </c>
      <c r="E179" s="2" t="s">
        <v>210</v>
      </c>
      <c r="F179" s="25" t="n">
        <v>40</v>
      </c>
      <c r="G179" s="25" t="n">
        <v>0</v>
      </c>
      <c r="H179" s="26" t="n">
        <v>0.2</v>
      </c>
      <c r="I179" s="18" t="n">
        <v>270</v>
      </c>
      <c r="J179" s="18" t="n">
        <f aca="false">I179/(1+H179*$B$5)</f>
        <v>225</v>
      </c>
      <c r="K179" s="27" t="n">
        <v>85</v>
      </c>
      <c r="L179" s="18" t="n">
        <f aca="false">G179/60*Machinery!$H$16*Assumptions!$B$23/100</f>
        <v>0</v>
      </c>
      <c r="M179" s="18" t="n">
        <f aca="false">G179/60*Machinery!$K$16</f>
        <v>0</v>
      </c>
      <c r="N179" s="18" t="n">
        <f aca="false">G179/60*Machinery!$L$16</f>
        <v>0</v>
      </c>
      <c r="O179" s="18" t="n">
        <f aca="false">F179/60*Assumptions!$B$20</f>
        <v>22.975845410628</v>
      </c>
      <c r="P179" s="18" t="n">
        <f aca="false">I179*Assumptions!$B$34*Assumptions!$B$35</f>
        <v>4.3605</v>
      </c>
      <c r="Q179" s="18" t="n">
        <f aca="false">SUM(K179:P179)</f>
        <v>112.336345410628</v>
      </c>
      <c r="R179" s="18" t="n">
        <f aca="false">J179-Q179</f>
        <v>112.663654589372</v>
      </c>
      <c r="S179" s="28" t="n">
        <f aca="false">IF(J179=0,0,R179/J179)</f>
        <v>0.500727353730542</v>
      </c>
      <c r="T179" s="26" t="n">
        <f aca="false">INDEX($B$13:$B$25,MATCH(E179,$A$13:$A$25,0))</f>
        <v>0.55</v>
      </c>
      <c r="U179" s="18" t="n">
        <f aca="false">SUM(K179:O179)/(1-T179-Assumptions!$B$34*Assumptions!$B$35*(1+H179*$B$5))</f>
        <v>250.745077819488</v>
      </c>
      <c r="V179" s="18" t="n">
        <f aca="false">MROUND(U179*(1+H179*$B$5),$B$6)</f>
        <v>301</v>
      </c>
      <c r="W179" s="26" t="n">
        <f aca="false">IF(I179=0,0,V179/I179-1)</f>
        <v>0.114814814814815</v>
      </c>
      <c r="X179" s="29" t="n">
        <f aca="false">MROUND(V179*3*(1-$B$7),$B$6)</f>
        <v>813</v>
      </c>
      <c r="Y179" s="29" t="n">
        <f aca="false">MROUND(V179*6*(1-$B$8),$B$6)</f>
        <v>1535</v>
      </c>
      <c r="Z179" s="29" t="n">
        <f aca="false">MROUND(V179*10*(1-$B$9),$B$6)</f>
        <v>2408</v>
      </c>
      <c r="AC179" s="25" t="n">
        <f aca="false">IF(OR(D179="ACTIVE",D179="CONSULTATION"),1,0)</f>
        <v>1</v>
      </c>
    </row>
    <row r="180" customFormat="false" ht="15" hidden="false" customHeight="false" outlineLevel="0" collapsed="false">
      <c r="A180" s="6" t="s">
        <v>437</v>
      </c>
      <c r="B180" s="6" t="s">
        <v>438</v>
      </c>
      <c r="C180" s="2" t="s">
        <v>280</v>
      </c>
      <c r="D180" s="2" t="s">
        <v>320</v>
      </c>
      <c r="E180" s="2" t="s">
        <v>210</v>
      </c>
      <c r="F180" s="25" t="n">
        <v>40</v>
      </c>
      <c r="G180" s="25" t="n">
        <v>0</v>
      </c>
      <c r="H180" s="26" t="n">
        <v>0.2</v>
      </c>
      <c r="I180" s="18" t="n">
        <v>180</v>
      </c>
      <c r="J180" s="18" t="n">
        <f aca="false">I180/(1+H180*$B$5)</f>
        <v>150</v>
      </c>
      <c r="K180" s="27" t="n">
        <v>35</v>
      </c>
      <c r="L180" s="18" t="n">
        <f aca="false">G180/60*Machinery!$H$16*Assumptions!$B$23/100</f>
        <v>0</v>
      </c>
      <c r="M180" s="18" t="n">
        <f aca="false">G180/60*Machinery!$K$16</f>
        <v>0</v>
      </c>
      <c r="N180" s="18" t="n">
        <f aca="false">G180/60*Machinery!$L$16</f>
        <v>0</v>
      </c>
      <c r="O180" s="18" t="n">
        <f aca="false">F180/60*Assumptions!$B$20</f>
        <v>22.975845410628</v>
      </c>
      <c r="P180" s="18" t="n">
        <f aca="false">I180*Assumptions!$B$34*Assumptions!$B$35</f>
        <v>2.907</v>
      </c>
      <c r="Q180" s="18" t="n">
        <f aca="false">SUM(K180:P180)</f>
        <v>60.882845410628</v>
      </c>
      <c r="R180" s="18" t="n">
        <f aca="false">J180-Q180</f>
        <v>89.117154589372</v>
      </c>
      <c r="S180" s="28" t="n">
        <f aca="false">IF(J180=0,0,R180/J180)</f>
        <v>0.594114363929147</v>
      </c>
      <c r="T180" s="26" t="n">
        <f aca="false">INDEX($B$13:$B$25,MATCH(E180,$A$13:$A$25,0))</f>
        <v>0.55</v>
      </c>
      <c r="U180" s="18" t="n">
        <f aca="false">SUM(K180:O180)/(1-T180-Assumptions!$B$34*Assumptions!$B$35*(1+H180*$B$5))</f>
        <v>134.633424853997</v>
      </c>
      <c r="V180" s="18" t="n">
        <f aca="false">MROUND(U180*(1+H180*$B$5),$B$6)</f>
        <v>162</v>
      </c>
      <c r="W180" s="26" t="n">
        <f aca="false">IF(I180=0,0,V180/I180-1)</f>
        <v>-0.1</v>
      </c>
      <c r="X180" s="29" t="n">
        <f aca="false">MROUND(V180*3*(1-$B$7),$B$6)</f>
        <v>437</v>
      </c>
      <c r="Y180" s="29" t="n">
        <f aca="false">MROUND(V180*6*(1-$B$8),$B$6)</f>
        <v>826</v>
      </c>
      <c r="Z180" s="29" t="n">
        <f aca="false">MROUND(V180*10*(1-$B$9),$B$6)</f>
        <v>1296</v>
      </c>
      <c r="AC180" s="25" t="n">
        <f aca="false">IF(OR(D180="ACTIVE",D180="CONSULTATION"),1,0)</f>
        <v>1</v>
      </c>
    </row>
    <row r="181" customFormat="false" ht="15" hidden="false" customHeight="false" outlineLevel="0" collapsed="false">
      <c r="A181" s="6" t="s">
        <v>437</v>
      </c>
      <c r="B181" s="6" t="s">
        <v>439</v>
      </c>
      <c r="C181" s="2" t="s">
        <v>280</v>
      </c>
      <c r="D181" s="2" t="s">
        <v>320</v>
      </c>
      <c r="E181" s="2" t="s">
        <v>210</v>
      </c>
      <c r="F181" s="25" t="n">
        <v>40</v>
      </c>
      <c r="G181" s="25" t="n">
        <v>0</v>
      </c>
      <c r="H181" s="26" t="n">
        <v>0.2</v>
      </c>
      <c r="I181" s="18" t="n">
        <v>200</v>
      </c>
      <c r="J181" s="18" t="n">
        <f aca="false">I181/(1+H181*$B$5)</f>
        <v>166.666666666667</v>
      </c>
      <c r="K181" s="27" t="n">
        <v>45</v>
      </c>
      <c r="L181" s="18" t="n">
        <f aca="false">G181/60*Machinery!$H$16*Assumptions!$B$23/100</f>
        <v>0</v>
      </c>
      <c r="M181" s="18" t="n">
        <f aca="false">G181/60*Machinery!$K$16</f>
        <v>0</v>
      </c>
      <c r="N181" s="18" t="n">
        <f aca="false">G181/60*Machinery!$L$16</f>
        <v>0</v>
      </c>
      <c r="O181" s="18" t="n">
        <f aca="false">F181/60*Assumptions!$B$20</f>
        <v>22.975845410628</v>
      </c>
      <c r="P181" s="18" t="n">
        <f aca="false">I181*Assumptions!$B$34*Assumptions!$B$35</f>
        <v>3.23</v>
      </c>
      <c r="Q181" s="18" t="n">
        <f aca="false">SUM(K181:P181)</f>
        <v>71.205845410628</v>
      </c>
      <c r="R181" s="18" t="n">
        <f aca="false">J181-Q181</f>
        <v>95.4608212560387</v>
      </c>
      <c r="S181" s="28" t="n">
        <f aca="false">IF(J181=0,0,R181/J181)</f>
        <v>0.572764927536232</v>
      </c>
      <c r="T181" s="26" t="n">
        <f aca="false">INDEX($B$13:$B$25,MATCH(E181,$A$13:$A$25,0))</f>
        <v>0.55</v>
      </c>
      <c r="U181" s="18" t="n">
        <f aca="false">SUM(K181:O181)/(1-T181-Assumptions!$B$34*Assumptions!$B$35*(1+H181*$B$5))</f>
        <v>157.855755447095</v>
      </c>
      <c r="V181" s="18" t="n">
        <f aca="false">MROUND(U181*(1+H181*$B$5),$B$6)</f>
        <v>189</v>
      </c>
      <c r="W181" s="26" t="n">
        <f aca="false">IF(I181=0,0,V181/I181-1)</f>
        <v>-0.0550000000000001</v>
      </c>
      <c r="X181" s="29" t="n">
        <f aca="false">MROUND(V181*3*(1-$B$7),$B$6)</f>
        <v>510</v>
      </c>
      <c r="Y181" s="29" t="n">
        <f aca="false">MROUND(V181*6*(1-$B$8),$B$6)</f>
        <v>964</v>
      </c>
      <c r="Z181" s="29" t="n">
        <f aca="false">MROUND(V181*10*(1-$B$9),$B$6)</f>
        <v>1512</v>
      </c>
      <c r="AC181" s="25" t="n">
        <f aca="false">IF(OR(D181="ACTIVE",D181="CONSULTATION"),1,0)</f>
        <v>1</v>
      </c>
    </row>
    <row r="182" customFormat="false" ht="15" hidden="false" customHeight="false" outlineLevel="0" collapsed="false">
      <c r="A182" s="6" t="s">
        <v>437</v>
      </c>
      <c r="B182" s="6" t="s">
        <v>440</v>
      </c>
      <c r="C182" s="2" t="s">
        <v>280</v>
      </c>
      <c r="D182" s="2" t="s">
        <v>320</v>
      </c>
      <c r="E182" s="2" t="s">
        <v>210</v>
      </c>
      <c r="F182" s="25" t="n">
        <v>40</v>
      </c>
      <c r="G182" s="25" t="n">
        <v>0</v>
      </c>
      <c r="H182" s="26" t="n">
        <v>0.2</v>
      </c>
      <c r="I182" s="18" t="n">
        <v>230</v>
      </c>
      <c r="J182" s="18" t="n">
        <f aca="false">I182/(1+H182*$B$5)</f>
        <v>191.666666666667</v>
      </c>
      <c r="K182" s="27" t="n">
        <v>60</v>
      </c>
      <c r="L182" s="18" t="n">
        <f aca="false">G182/60*Machinery!$H$16*Assumptions!$B$23/100</f>
        <v>0</v>
      </c>
      <c r="M182" s="18" t="n">
        <f aca="false">G182/60*Machinery!$K$16</f>
        <v>0</v>
      </c>
      <c r="N182" s="18" t="n">
        <f aca="false">G182/60*Machinery!$L$16</f>
        <v>0</v>
      </c>
      <c r="O182" s="18" t="n">
        <f aca="false">F182/60*Assumptions!$B$20</f>
        <v>22.975845410628</v>
      </c>
      <c r="P182" s="18" t="n">
        <f aca="false">I182*Assumptions!$B$34*Assumptions!$B$35</f>
        <v>3.7145</v>
      </c>
      <c r="Q182" s="18" t="n">
        <f aca="false">SUM(K182:P182)</f>
        <v>86.690345410628</v>
      </c>
      <c r="R182" s="18" t="n">
        <f aca="false">J182-Q182</f>
        <v>104.976321256039</v>
      </c>
      <c r="S182" s="28" t="n">
        <f aca="false">IF(J182=0,0,R182/J182)</f>
        <v>0.54770254568368</v>
      </c>
      <c r="T182" s="26" t="n">
        <f aca="false">INDEX($B$13:$B$25,MATCH(E182,$A$13:$A$25,0))</f>
        <v>0.55</v>
      </c>
      <c r="U182" s="18" t="n">
        <f aca="false">SUM(K182:O182)/(1-T182-Assumptions!$B$34*Assumptions!$B$35*(1+H182*$B$5))</f>
        <v>192.689251336742</v>
      </c>
      <c r="V182" s="18" t="n">
        <f aca="false">MROUND(U182*(1+H182*$B$5),$B$6)</f>
        <v>231</v>
      </c>
      <c r="W182" s="26" t="n">
        <f aca="false">IF(I182=0,0,V182/I182-1)</f>
        <v>0.0043478260869565</v>
      </c>
      <c r="X182" s="29" t="n">
        <f aca="false">MROUND(V182*3*(1-$B$7),$B$6)</f>
        <v>624</v>
      </c>
      <c r="Y182" s="29" t="n">
        <f aca="false">MROUND(V182*6*(1-$B$8),$B$6)</f>
        <v>1178</v>
      </c>
      <c r="Z182" s="29" t="n">
        <f aca="false">MROUND(V182*10*(1-$B$9),$B$6)</f>
        <v>1848</v>
      </c>
      <c r="AC182" s="25" t="n">
        <f aca="false">IF(OR(D182="ACTIVE",D182="CONSULTATION"),1,0)</f>
        <v>1</v>
      </c>
    </row>
    <row r="183" customFormat="false" ht="15" hidden="false" customHeight="false" outlineLevel="0" collapsed="false">
      <c r="A183" s="6" t="s">
        <v>437</v>
      </c>
      <c r="B183" s="6" t="s">
        <v>441</v>
      </c>
      <c r="C183" s="2" t="s">
        <v>280</v>
      </c>
      <c r="D183" s="2" t="s">
        <v>320</v>
      </c>
      <c r="E183" s="2" t="s">
        <v>210</v>
      </c>
      <c r="F183" s="25" t="n">
        <v>40</v>
      </c>
      <c r="G183" s="25" t="n">
        <v>0</v>
      </c>
      <c r="H183" s="26" t="n">
        <v>0.2</v>
      </c>
      <c r="I183" s="18" t="n">
        <v>280</v>
      </c>
      <c r="J183" s="18" t="n">
        <f aca="false">I183/(1+H183*$B$5)</f>
        <v>233.333333333333</v>
      </c>
      <c r="K183" s="27" t="n">
        <v>85</v>
      </c>
      <c r="L183" s="18" t="n">
        <f aca="false">G183/60*Machinery!$H$16*Assumptions!$B$23/100</f>
        <v>0</v>
      </c>
      <c r="M183" s="18" t="n">
        <f aca="false">G183/60*Machinery!$K$16</f>
        <v>0</v>
      </c>
      <c r="N183" s="18" t="n">
        <f aca="false">G183/60*Machinery!$L$16</f>
        <v>0</v>
      </c>
      <c r="O183" s="18" t="n">
        <f aca="false">F183/60*Assumptions!$B$20</f>
        <v>22.975845410628</v>
      </c>
      <c r="P183" s="18" t="n">
        <f aca="false">I183*Assumptions!$B$34*Assumptions!$B$35</f>
        <v>4.522</v>
      </c>
      <c r="Q183" s="18" t="n">
        <f aca="false">SUM(K183:P183)</f>
        <v>112.497845410628</v>
      </c>
      <c r="R183" s="18" t="n">
        <f aca="false">J183-Q183</f>
        <v>120.835487922705</v>
      </c>
      <c r="S183" s="28" t="n">
        <f aca="false">IF(J183=0,0,R183/J183)</f>
        <v>0.517866376811594</v>
      </c>
      <c r="T183" s="26" t="n">
        <f aca="false">INDEX($B$13:$B$25,MATCH(E183,$A$13:$A$25,0))</f>
        <v>0.55</v>
      </c>
      <c r="U183" s="18" t="n">
        <f aca="false">SUM(K183:O183)/(1-T183-Assumptions!$B$34*Assumptions!$B$35*(1+H183*$B$5))</f>
        <v>250.745077819488</v>
      </c>
      <c r="V183" s="18" t="n">
        <f aca="false">MROUND(U183*(1+H183*$B$5),$B$6)</f>
        <v>301</v>
      </c>
      <c r="W183" s="26" t="n">
        <f aca="false">IF(I183=0,0,V183/I183-1)</f>
        <v>0.075</v>
      </c>
      <c r="X183" s="29" t="n">
        <f aca="false">MROUND(V183*3*(1-$B$7),$B$6)</f>
        <v>813</v>
      </c>
      <c r="Y183" s="29" t="n">
        <f aca="false">MROUND(V183*6*(1-$B$8),$B$6)</f>
        <v>1535</v>
      </c>
      <c r="Z183" s="29" t="n">
        <f aca="false">MROUND(V183*10*(1-$B$9),$B$6)</f>
        <v>2408</v>
      </c>
      <c r="AC183" s="25" t="n">
        <f aca="false">IF(OR(D183="ACTIVE",D183="CONSULTATION"),1,0)</f>
        <v>1</v>
      </c>
    </row>
    <row r="184" customFormat="false" ht="15" hidden="false" customHeight="false" outlineLevel="0" collapsed="false">
      <c r="A184" s="6" t="s">
        <v>442</v>
      </c>
      <c r="B184" s="6" t="s">
        <v>443</v>
      </c>
      <c r="C184" s="2" t="s">
        <v>280</v>
      </c>
      <c r="D184" s="2" t="s">
        <v>320</v>
      </c>
      <c r="E184" s="2" t="s">
        <v>210</v>
      </c>
      <c r="F184" s="25" t="n">
        <v>45</v>
      </c>
      <c r="G184" s="25" t="n">
        <v>0</v>
      </c>
      <c r="H184" s="26" t="n">
        <v>0.2</v>
      </c>
      <c r="I184" s="18" t="n">
        <v>175</v>
      </c>
      <c r="J184" s="18" t="n">
        <f aca="false">I184/(1+H184*$B$5)</f>
        <v>145.833333333333</v>
      </c>
      <c r="K184" s="27" t="n">
        <v>25</v>
      </c>
      <c r="L184" s="18" t="n">
        <f aca="false">G184/60*Machinery!$H$16*Assumptions!$B$23/100</f>
        <v>0</v>
      </c>
      <c r="M184" s="18" t="n">
        <f aca="false">G184/60*Machinery!$K$16</f>
        <v>0</v>
      </c>
      <c r="N184" s="18" t="n">
        <f aca="false">G184/60*Machinery!$L$16</f>
        <v>0</v>
      </c>
      <c r="O184" s="18" t="n">
        <f aca="false">F184/60*Assumptions!$B$20</f>
        <v>25.8478260869565</v>
      </c>
      <c r="P184" s="18" t="n">
        <f aca="false">I184*Assumptions!$B$34*Assumptions!$B$35</f>
        <v>2.82625</v>
      </c>
      <c r="Q184" s="18" t="n">
        <f aca="false">SUM(K184:P184)</f>
        <v>53.6740760869565</v>
      </c>
      <c r="R184" s="18" t="n">
        <f aca="false">J184-Q184</f>
        <v>92.1592572463768</v>
      </c>
      <c r="S184" s="28" t="n">
        <f aca="false">IF(J184=0,0,R184/J184)</f>
        <v>0.631949192546584</v>
      </c>
      <c r="T184" s="26" t="n">
        <f aca="false">INDEX($B$13:$B$25,MATCH(E184,$A$13:$A$25,0))</f>
        <v>0.55</v>
      </c>
      <c r="U184" s="18" t="n">
        <f aca="false">SUM(K184:O184)/(1-T184-Assumptions!$B$34*Assumptions!$B$35*(1+H184*$B$5))</f>
        <v>118.080502733167</v>
      </c>
      <c r="V184" s="18" t="n">
        <f aca="false">MROUND(U184*(1+H184*$B$5),$B$6)</f>
        <v>142</v>
      </c>
      <c r="W184" s="26" t="n">
        <f aca="false">IF(I184=0,0,V184/I184-1)</f>
        <v>-0.188571428571429</v>
      </c>
      <c r="X184" s="29" t="n">
        <f aca="false">MROUND(V184*3*(1-$B$7),$B$6)</f>
        <v>383</v>
      </c>
      <c r="Y184" s="29" t="n">
        <f aca="false">MROUND(V184*6*(1-$B$8),$B$6)</f>
        <v>724</v>
      </c>
      <c r="Z184" s="29" t="n">
        <f aca="false">MROUND(V184*10*(1-$B$9),$B$6)</f>
        <v>1136</v>
      </c>
      <c r="AC184" s="25" t="n">
        <f aca="false">IF(OR(D184="ACTIVE",D184="CONSULTATION"),1,0)</f>
        <v>1</v>
      </c>
    </row>
    <row r="185" customFormat="false" ht="15" hidden="false" customHeight="false" outlineLevel="0" collapsed="false">
      <c r="A185" s="6" t="s">
        <v>442</v>
      </c>
      <c r="B185" s="6" t="s">
        <v>444</v>
      </c>
      <c r="C185" s="2" t="s">
        <v>280</v>
      </c>
      <c r="D185" s="2" t="s">
        <v>320</v>
      </c>
      <c r="E185" s="2" t="s">
        <v>210</v>
      </c>
      <c r="F185" s="25" t="n">
        <v>45</v>
      </c>
      <c r="G185" s="25" t="n">
        <v>0</v>
      </c>
      <c r="H185" s="26" t="n">
        <v>0.2</v>
      </c>
      <c r="I185" s="18" t="n">
        <v>185</v>
      </c>
      <c r="J185" s="18" t="n">
        <f aca="false">I185/(1+H185*$B$5)</f>
        <v>154.166666666667</v>
      </c>
      <c r="K185" s="27" t="n">
        <v>25</v>
      </c>
      <c r="L185" s="18" t="n">
        <f aca="false">G185/60*Machinery!$H$16*Assumptions!$B$23/100</f>
        <v>0</v>
      </c>
      <c r="M185" s="18" t="n">
        <f aca="false">G185/60*Machinery!$K$16</f>
        <v>0</v>
      </c>
      <c r="N185" s="18" t="n">
        <f aca="false">G185/60*Machinery!$L$16</f>
        <v>0</v>
      </c>
      <c r="O185" s="18" t="n">
        <f aca="false">F185/60*Assumptions!$B$20</f>
        <v>25.8478260869565</v>
      </c>
      <c r="P185" s="18" t="n">
        <f aca="false">I185*Assumptions!$B$34*Assumptions!$B$35</f>
        <v>2.98775</v>
      </c>
      <c r="Q185" s="18" t="n">
        <f aca="false">SUM(K185:P185)</f>
        <v>53.8355760869565</v>
      </c>
      <c r="R185" s="18" t="n">
        <f aca="false">J185-Q185</f>
        <v>100.33109057971</v>
      </c>
      <c r="S185" s="28" t="n">
        <f aca="false">IF(J185=0,0,R185/J185)</f>
        <v>0.650796263219742</v>
      </c>
      <c r="T185" s="26" t="n">
        <f aca="false">INDEX($B$13:$B$25,MATCH(E185,$A$13:$A$25,0))</f>
        <v>0.55</v>
      </c>
      <c r="U185" s="18" t="n">
        <f aca="false">SUM(K185:O185)/(1-T185-Assumptions!$B$34*Assumptions!$B$35*(1+H185*$B$5))</f>
        <v>118.080502733167</v>
      </c>
      <c r="V185" s="18" t="n">
        <f aca="false">MROUND(U185*(1+H185*$B$5),$B$6)</f>
        <v>142</v>
      </c>
      <c r="W185" s="26" t="n">
        <f aca="false">IF(I185=0,0,V185/I185-1)</f>
        <v>-0.232432432432432</v>
      </c>
      <c r="X185" s="29" t="n">
        <f aca="false">MROUND(V185*3*(1-$B$7),$B$6)</f>
        <v>383</v>
      </c>
      <c r="Y185" s="29" t="n">
        <f aca="false">MROUND(V185*6*(1-$B$8),$B$6)</f>
        <v>724</v>
      </c>
      <c r="Z185" s="29" t="n">
        <f aca="false">MROUND(V185*10*(1-$B$9),$B$6)</f>
        <v>1136</v>
      </c>
      <c r="AC185" s="25" t="n">
        <f aca="false">IF(OR(D185="ACTIVE",D185="CONSULTATION"),1,0)</f>
        <v>1</v>
      </c>
    </row>
    <row r="186" customFormat="false" ht="15" hidden="false" customHeight="false" outlineLevel="0" collapsed="false">
      <c r="A186" s="6" t="s">
        <v>442</v>
      </c>
      <c r="B186" s="6" t="s">
        <v>445</v>
      </c>
      <c r="C186" s="2" t="s">
        <v>280</v>
      </c>
      <c r="D186" s="2" t="s">
        <v>320</v>
      </c>
      <c r="E186" s="2" t="s">
        <v>210</v>
      </c>
      <c r="F186" s="25" t="n">
        <v>45</v>
      </c>
      <c r="G186" s="25" t="n">
        <v>0</v>
      </c>
      <c r="H186" s="26" t="n">
        <v>0.2</v>
      </c>
      <c r="I186" s="18" t="n">
        <v>190</v>
      </c>
      <c r="J186" s="18" t="n">
        <f aca="false">I186/(1+H186*$B$5)</f>
        <v>158.333333333333</v>
      </c>
      <c r="K186" s="27" t="n">
        <v>25</v>
      </c>
      <c r="L186" s="18" t="n">
        <f aca="false">G186/60*Machinery!$H$16*Assumptions!$B$23/100</f>
        <v>0</v>
      </c>
      <c r="M186" s="18" t="n">
        <f aca="false">G186/60*Machinery!$K$16</f>
        <v>0</v>
      </c>
      <c r="N186" s="18" t="n">
        <f aca="false">G186/60*Machinery!$L$16</f>
        <v>0</v>
      </c>
      <c r="O186" s="18" t="n">
        <f aca="false">F186/60*Assumptions!$B$20</f>
        <v>25.8478260869565</v>
      </c>
      <c r="P186" s="18" t="n">
        <f aca="false">I186*Assumptions!$B$34*Assumptions!$B$35</f>
        <v>3.0685</v>
      </c>
      <c r="Q186" s="18" t="n">
        <f aca="false">SUM(K186:P186)</f>
        <v>53.9163260869565</v>
      </c>
      <c r="R186" s="18" t="n">
        <f aca="false">J186-Q186</f>
        <v>104.417007246377</v>
      </c>
      <c r="S186" s="28" t="n">
        <f aca="false">IF(J186=0,0,R186/J186)</f>
        <v>0.659475835240275</v>
      </c>
      <c r="T186" s="26" t="n">
        <f aca="false">INDEX($B$13:$B$25,MATCH(E186,$A$13:$A$25,0))</f>
        <v>0.55</v>
      </c>
      <c r="U186" s="18" t="n">
        <f aca="false">SUM(K186:O186)/(1-T186-Assumptions!$B$34*Assumptions!$B$35*(1+H186*$B$5))</f>
        <v>118.080502733167</v>
      </c>
      <c r="V186" s="18" t="n">
        <f aca="false">MROUND(U186*(1+H186*$B$5),$B$6)</f>
        <v>142</v>
      </c>
      <c r="W186" s="26" t="n">
        <f aca="false">IF(I186=0,0,V186/I186-1)</f>
        <v>-0.252631578947368</v>
      </c>
      <c r="X186" s="29" t="n">
        <f aca="false">MROUND(V186*3*(1-$B$7),$B$6)</f>
        <v>383</v>
      </c>
      <c r="Y186" s="29" t="n">
        <f aca="false">MROUND(V186*6*(1-$B$8),$B$6)</f>
        <v>724</v>
      </c>
      <c r="Z186" s="29" t="n">
        <f aca="false">MROUND(V186*10*(1-$B$9),$B$6)</f>
        <v>1136</v>
      </c>
      <c r="AC186" s="25" t="n">
        <f aca="false">IF(OR(D186="ACTIVE",D186="CONSULTATION"),1,0)</f>
        <v>1</v>
      </c>
    </row>
    <row r="187" customFormat="false" ht="15" hidden="false" customHeight="false" outlineLevel="0" collapsed="false">
      <c r="A187" s="6" t="s">
        <v>442</v>
      </c>
      <c r="B187" s="6" t="s">
        <v>446</v>
      </c>
      <c r="C187" s="2" t="s">
        <v>280</v>
      </c>
      <c r="D187" s="2" t="s">
        <v>320</v>
      </c>
      <c r="E187" s="2" t="s">
        <v>210</v>
      </c>
      <c r="F187" s="25" t="n">
        <v>45</v>
      </c>
      <c r="G187" s="25" t="n">
        <v>0</v>
      </c>
      <c r="H187" s="26" t="n">
        <v>0.2</v>
      </c>
      <c r="I187" s="18" t="n">
        <v>190</v>
      </c>
      <c r="J187" s="18" t="n">
        <f aca="false">I187/(1+H187*$B$5)</f>
        <v>158.333333333333</v>
      </c>
      <c r="K187" s="27" t="n">
        <v>25</v>
      </c>
      <c r="L187" s="18" t="n">
        <f aca="false">G187/60*Machinery!$H$16*Assumptions!$B$23/100</f>
        <v>0</v>
      </c>
      <c r="M187" s="18" t="n">
        <f aca="false">G187/60*Machinery!$K$16</f>
        <v>0</v>
      </c>
      <c r="N187" s="18" t="n">
        <f aca="false">G187/60*Machinery!$L$16</f>
        <v>0</v>
      </c>
      <c r="O187" s="18" t="n">
        <f aca="false">F187/60*Assumptions!$B$20</f>
        <v>25.8478260869565</v>
      </c>
      <c r="P187" s="18" t="n">
        <f aca="false">I187*Assumptions!$B$34*Assumptions!$B$35</f>
        <v>3.0685</v>
      </c>
      <c r="Q187" s="18" t="n">
        <f aca="false">SUM(K187:P187)</f>
        <v>53.9163260869565</v>
      </c>
      <c r="R187" s="18" t="n">
        <f aca="false">J187-Q187</f>
        <v>104.417007246377</v>
      </c>
      <c r="S187" s="28" t="n">
        <f aca="false">IF(J187=0,0,R187/J187)</f>
        <v>0.659475835240275</v>
      </c>
      <c r="T187" s="26" t="n">
        <f aca="false">INDEX($B$13:$B$25,MATCH(E187,$A$13:$A$25,0))</f>
        <v>0.55</v>
      </c>
      <c r="U187" s="18" t="n">
        <f aca="false">SUM(K187:O187)/(1-T187-Assumptions!$B$34*Assumptions!$B$35*(1+H187*$B$5))</f>
        <v>118.080502733167</v>
      </c>
      <c r="V187" s="18" t="n">
        <f aca="false">MROUND(U187*(1+H187*$B$5),$B$6)</f>
        <v>142</v>
      </c>
      <c r="W187" s="26" t="n">
        <f aca="false">IF(I187=0,0,V187/I187-1)</f>
        <v>-0.252631578947368</v>
      </c>
      <c r="X187" s="29" t="n">
        <f aca="false">MROUND(V187*3*(1-$B$7),$B$6)</f>
        <v>383</v>
      </c>
      <c r="Y187" s="29" t="n">
        <f aca="false">MROUND(V187*6*(1-$B$8),$B$6)</f>
        <v>724</v>
      </c>
      <c r="Z187" s="29" t="n">
        <f aca="false">MROUND(V187*10*(1-$B$9),$B$6)</f>
        <v>1136</v>
      </c>
      <c r="AC187" s="25" t="n">
        <f aca="false">IF(OR(D187="ACTIVE",D187="CONSULTATION"),1,0)</f>
        <v>1</v>
      </c>
    </row>
    <row r="188" customFormat="false" ht="15" hidden="false" customHeight="false" outlineLevel="0" collapsed="false">
      <c r="A188" s="6" t="s">
        <v>442</v>
      </c>
      <c r="B188" s="6" t="s">
        <v>447</v>
      </c>
      <c r="C188" s="2" t="s">
        <v>280</v>
      </c>
      <c r="D188" s="2" t="s">
        <v>320</v>
      </c>
      <c r="E188" s="2" t="s">
        <v>210</v>
      </c>
      <c r="F188" s="25" t="n">
        <v>45</v>
      </c>
      <c r="G188" s="25" t="n">
        <v>0</v>
      </c>
      <c r="H188" s="26" t="n">
        <v>0.2</v>
      </c>
      <c r="I188" s="18" t="n">
        <v>190</v>
      </c>
      <c r="J188" s="18" t="n">
        <f aca="false">I188/(1+H188*$B$5)</f>
        <v>158.333333333333</v>
      </c>
      <c r="K188" s="27" t="n">
        <v>25</v>
      </c>
      <c r="L188" s="18" t="n">
        <f aca="false">G188/60*Machinery!$H$16*Assumptions!$B$23/100</f>
        <v>0</v>
      </c>
      <c r="M188" s="18" t="n">
        <f aca="false">G188/60*Machinery!$K$16</f>
        <v>0</v>
      </c>
      <c r="N188" s="18" t="n">
        <f aca="false">G188/60*Machinery!$L$16</f>
        <v>0</v>
      </c>
      <c r="O188" s="18" t="n">
        <f aca="false">F188/60*Assumptions!$B$20</f>
        <v>25.8478260869565</v>
      </c>
      <c r="P188" s="18" t="n">
        <f aca="false">I188*Assumptions!$B$34*Assumptions!$B$35</f>
        <v>3.0685</v>
      </c>
      <c r="Q188" s="18" t="n">
        <f aca="false">SUM(K188:P188)</f>
        <v>53.9163260869565</v>
      </c>
      <c r="R188" s="18" t="n">
        <f aca="false">J188-Q188</f>
        <v>104.417007246377</v>
      </c>
      <c r="S188" s="28" t="n">
        <f aca="false">IF(J188=0,0,R188/J188)</f>
        <v>0.659475835240275</v>
      </c>
      <c r="T188" s="26" t="n">
        <f aca="false">INDEX($B$13:$B$25,MATCH(E188,$A$13:$A$25,0))</f>
        <v>0.55</v>
      </c>
      <c r="U188" s="18" t="n">
        <f aca="false">SUM(K188:O188)/(1-T188-Assumptions!$B$34*Assumptions!$B$35*(1+H188*$B$5))</f>
        <v>118.080502733167</v>
      </c>
      <c r="V188" s="18" t="n">
        <f aca="false">MROUND(U188*(1+H188*$B$5),$B$6)</f>
        <v>142</v>
      </c>
      <c r="W188" s="26" t="n">
        <f aca="false">IF(I188=0,0,V188/I188-1)</f>
        <v>-0.252631578947368</v>
      </c>
      <c r="X188" s="29" t="n">
        <f aca="false">MROUND(V188*3*(1-$B$7),$B$6)</f>
        <v>383</v>
      </c>
      <c r="Y188" s="29" t="n">
        <f aca="false">MROUND(V188*6*(1-$B$8),$B$6)</f>
        <v>724</v>
      </c>
      <c r="Z188" s="29" t="n">
        <f aca="false">MROUND(V188*10*(1-$B$9),$B$6)</f>
        <v>1136</v>
      </c>
      <c r="AC188" s="25" t="n">
        <f aca="false">IF(OR(D188="ACTIVE",D188="CONSULTATION"),1,0)</f>
        <v>1</v>
      </c>
    </row>
    <row r="189" customFormat="false" ht="15" hidden="false" customHeight="false" outlineLevel="0" collapsed="false">
      <c r="A189" s="6" t="s">
        <v>448</v>
      </c>
      <c r="B189" s="6" t="s">
        <v>449</v>
      </c>
      <c r="C189" s="2" t="s">
        <v>280</v>
      </c>
      <c r="D189" s="2" t="s">
        <v>320</v>
      </c>
      <c r="E189" s="2" t="s">
        <v>210</v>
      </c>
      <c r="F189" s="25" t="n">
        <v>40</v>
      </c>
      <c r="G189" s="25" t="n">
        <v>0</v>
      </c>
      <c r="H189" s="26" t="n">
        <v>0.2</v>
      </c>
      <c r="I189" s="18" t="n">
        <v>170</v>
      </c>
      <c r="J189" s="18" t="n">
        <f aca="false">I189/(1+H189*$B$5)</f>
        <v>141.666666666667</v>
      </c>
      <c r="K189" s="27" t="n">
        <v>70</v>
      </c>
      <c r="L189" s="18" t="n">
        <f aca="false">G189/60*Machinery!$H$16*Assumptions!$B$23/100</f>
        <v>0</v>
      </c>
      <c r="M189" s="18" t="n">
        <f aca="false">G189/60*Machinery!$K$16</f>
        <v>0</v>
      </c>
      <c r="N189" s="18" t="n">
        <f aca="false">G189/60*Machinery!$L$16</f>
        <v>0</v>
      </c>
      <c r="O189" s="18" t="n">
        <f aca="false">F189/60*Assumptions!$B$20</f>
        <v>22.975845410628</v>
      </c>
      <c r="P189" s="18" t="n">
        <f aca="false">I189*Assumptions!$B$34*Assumptions!$B$35</f>
        <v>2.7455</v>
      </c>
      <c r="Q189" s="18" t="n">
        <f aca="false">SUM(K189:P189)</f>
        <v>95.721345410628</v>
      </c>
      <c r="R189" s="18" t="n">
        <f aca="false">J189-Q189</f>
        <v>45.9453212560387</v>
      </c>
      <c r="S189" s="28" t="n">
        <f aca="false">IF(J189=0,0,R189/J189)</f>
        <v>0.324319914748508</v>
      </c>
      <c r="T189" s="26" t="n">
        <f aca="false">INDEX($B$13:$B$25,MATCH(E189,$A$13:$A$25,0))</f>
        <v>0.55</v>
      </c>
      <c r="U189" s="18" t="n">
        <f aca="false">SUM(K189:O189)/(1-T189-Assumptions!$B$34*Assumptions!$B$35*(1+H189*$B$5))</f>
        <v>215.911581929841</v>
      </c>
      <c r="V189" s="18" t="n">
        <f aca="false">MROUND(U189*(1+H189*$B$5),$B$6)</f>
        <v>259</v>
      </c>
      <c r="W189" s="26" t="n">
        <f aca="false">IF(I189=0,0,V189/I189-1)</f>
        <v>0.523529411764706</v>
      </c>
      <c r="X189" s="29" t="n">
        <f aca="false">MROUND(V189*3*(1-$B$7),$B$6)</f>
        <v>699</v>
      </c>
      <c r="Y189" s="29" t="n">
        <f aca="false">MROUND(V189*6*(1-$B$8),$B$6)</f>
        <v>1321</v>
      </c>
      <c r="Z189" s="29" t="n">
        <f aca="false">MROUND(V189*10*(1-$B$9),$B$6)</f>
        <v>2072</v>
      </c>
      <c r="AC189" s="25" t="n">
        <f aca="false">IF(OR(D189="ACTIVE",D189="CONSULTATION"),1,0)</f>
        <v>1</v>
      </c>
    </row>
    <row r="190" customFormat="false" ht="15" hidden="false" customHeight="false" outlineLevel="0" collapsed="false">
      <c r="A190" s="6" t="s">
        <v>448</v>
      </c>
      <c r="B190" s="6" t="s">
        <v>450</v>
      </c>
      <c r="C190" s="2" t="s">
        <v>280</v>
      </c>
      <c r="D190" s="2" t="s">
        <v>320</v>
      </c>
      <c r="E190" s="2" t="s">
        <v>210</v>
      </c>
      <c r="F190" s="25" t="n">
        <v>40</v>
      </c>
      <c r="G190" s="25" t="n">
        <v>0</v>
      </c>
      <c r="H190" s="26" t="n">
        <v>0.2</v>
      </c>
      <c r="I190" s="18" t="n">
        <v>170</v>
      </c>
      <c r="J190" s="18" t="n">
        <f aca="false">I190/(1+H190*$B$5)</f>
        <v>141.666666666667</v>
      </c>
      <c r="K190" s="27" t="n">
        <v>70</v>
      </c>
      <c r="L190" s="18" t="n">
        <f aca="false">G190/60*Machinery!$H$16*Assumptions!$B$23/100</f>
        <v>0</v>
      </c>
      <c r="M190" s="18" t="n">
        <f aca="false">G190/60*Machinery!$K$16</f>
        <v>0</v>
      </c>
      <c r="N190" s="18" t="n">
        <f aca="false">G190/60*Machinery!$L$16</f>
        <v>0</v>
      </c>
      <c r="O190" s="18" t="n">
        <f aca="false">F190/60*Assumptions!$B$20</f>
        <v>22.975845410628</v>
      </c>
      <c r="P190" s="18" t="n">
        <f aca="false">I190*Assumptions!$B$34*Assumptions!$B$35</f>
        <v>2.7455</v>
      </c>
      <c r="Q190" s="18" t="n">
        <f aca="false">SUM(K190:P190)</f>
        <v>95.721345410628</v>
      </c>
      <c r="R190" s="18" t="n">
        <f aca="false">J190-Q190</f>
        <v>45.9453212560387</v>
      </c>
      <c r="S190" s="28" t="n">
        <f aca="false">IF(J190=0,0,R190/J190)</f>
        <v>0.324319914748508</v>
      </c>
      <c r="T190" s="26" t="n">
        <f aca="false">INDEX($B$13:$B$25,MATCH(E190,$A$13:$A$25,0))</f>
        <v>0.55</v>
      </c>
      <c r="U190" s="18" t="n">
        <f aca="false">SUM(K190:O190)/(1-T190-Assumptions!$B$34*Assumptions!$B$35*(1+H190*$B$5))</f>
        <v>215.911581929841</v>
      </c>
      <c r="V190" s="18" t="n">
        <f aca="false">MROUND(U190*(1+H190*$B$5),$B$6)</f>
        <v>259</v>
      </c>
      <c r="W190" s="26" t="n">
        <f aca="false">IF(I190=0,0,V190/I190-1)</f>
        <v>0.523529411764706</v>
      </c>
      <c r="X190" s="29" t="n">
        <f aca="false">MROUND(V190*3*(1-$B$7),$B$6)</f>
        <v>699</v>
      </c>
      <c r="Y190" s="29" t="n">
        <f aca="false">MROUND(V190*6*(1-$B$8),$B$6)</f>
        <v>1321</v>
      </c>
      <c r="Z190" s="29" t="n">
        <f aca="false">MROUND(V190*10*(1-$B$9),$B$6)</f>
        <v>2072</v>
      </c>
      <c r="AC190" s="25" t="n">
        <f aca="false">IF(OR(D190="ACTIVE",D190="CONSULTATION"),1,0)</f>
        <v>1</v>
      </c>
    </row>
    <row r="191" customFormat="false" ht="15" hidden="false" customHeight="false" outlineLevel="0" collapsed="false">
      <c r="A191" s="6" t="s">
        <v>448</v>
      </c>
      <c r="B191" s="6" t="s">
        <v>451</v>
      </c>
      <c r="C191" s="2" t="s">
        <v>280</v>
      </c>
      <c r="D191" s="2" t="s">
        <v>320</v>
      </c>
      <c r="E191" s="2" t="s">
        <v>210</v>
      </c>
      <c r="F191" s="25" t="n">
        <v>40</v>
      </c>
      <c r="G191" s="25" t="n">
        <v>0</v>
      </c>
      <c r="H191" s="26" t="n">
        <v>0.2</v>
      </c>
      <c r="I191" s="18" t="n">
        <v>170</v>
      </c>
      <c r="J191" s="18" t="n">
        <f aca="false">I191/(1+H191*$B$5)</f>
        <v>141.666666666667</v>
      </c>
      <c r="K191" s="27" t="n">
        <v>70</v>
      </c>
      <c r="L191" s="18" t="n">
        <f aca="false">G191/60*Machinery!$H$16*Assumptions!$B$23/100</f>
        <v>0</v>
      </c>
      <c r="M191" s="18" t="n">
        <f aca="false">G191/60*Machinery!$K$16</f>
        <v>0</v>
      </c>
      <c r="N191" s="18" t="n">
        <f aca="false">G191/60*Machinery!$L$16</f>
        <v>0</v>
      </c>
      <c r="O191" s="18" t="n">
        <f aca="false">F191/60*Assumptions!$B$20</f>
        <v>22.975845410628</v>
      </c>
      <c r="P191" s="18" t="n">
        <f aca="false">I191*Assumptions!$B$34*Assumptions!$B$35</f>
        <v>2.7455</v>
      </c>
      <c r="Q191" s="18" t="n">
        <f aca="false">SUM(K191:P191)</f>
        <v>95.721345410628</v>
      </c>
      <c r="R191" s="18" t="n">
        <f aca="false">J191-Q191</f>
        <v>45.9453212560387</v>
      </c>
      <c r="S191" s="28" t="n">
        <f aca="false">IF(J191=0,0,R191/J191)</f>
        <v>0.324319914748508</v>
      </c>
      <c r="T191" s="26" t="n">
        <f aca="false">INDEX($B$13:$B$25,MATCH(E191,$A$13:$A$25,0))</f>
        <v>0.55</v>
      </c>
      <c r="U191" s="18" t="n">
        <f aca="false">SUM(K191:O191)/(1-T191-Assumptions!$B$34*Assumptions!$B$35*(1+H191*$B$5))</f>
        <v>215.911581929841</v>
      </c>
      <c r="V191" s="18" t="n">
        <f aca="false">MROUND(U191*(1+H191*$B$5),$B$6)</f>
        <v>259</v>
      </c>
      <c r="W191" s="26" t="n">
        <f aca="false">IF(I191=0,0,V191/I191-1)</f>
        <v>0.523529411764706</v>
      </c>
      <c r="X191" s="29" t="n">
        <f aca="false">MROUND(V191*3*(1-$B$7),$B$6)</f>
        <v>699</v>
      </c>
      <c r="Y191" s="29" t="n">
        <f aca="false">MROUND(V191*6*(1-$B$8),$B$6)</f>
        <v>1321</v>
      </c>
      <c r="Z191" s="29" t="n">
        <f aca="false">MROUND(V191*10*(1-$B$9),$B$6)</f>
        <v>2072</v>
      </c>
      <c r="AC191" s="25" t="n">
        <f aca="false">IF(OR(D191="ACTIVE",D191="CONSULTATION"),1,0)</f>
        <v>1</v>
      </c>
    </row>
    <row r="192" customFormat="false" ht="15" hidden="false" customHeight="false" outlineLevel="0" collapsed="false">
      <c r="A192" s="6" t="s">
        <v>448</v>
      </c>
      <c r="B192" s="6" t="s">
        <v>452</v>
      </c>
      <c r="C192" s="2" t="s">
        <v>280</v>
      </c>
      <c r="D192" s="2" t="s">
        <v>320</v>
      </c>
      <c r="E192" s="2" t="s">
        <v>210</v>
      </c>
      <c r="F192" s="25" t="n">
        <v>50</v>
      </c>
      <c r="G192" s="25" t="n">
        <v>0</v>
      </c>
      <c r="H192" s="26" t="n">
        <v>0.2</v>
      </c>
      <c r="I192" s="18" t="n">
        <v>200</v>
      </c>
      <c r="J192" s="18" t="n">
        <f aca="false">I192/(1+H192*$B$5)</f>
        <v>166.666666666667</v>
      </c>
      <c r="K192" s="27" t="n">
        <v>100</v>
      </c>
      <c r="L192" s="18" t="n">
        <f aca="false">G192/60*Machinery!$H$16*Assumptions!$B$23/100</f>
        <v>0</v>
      </c>
      <c r="M192" s="18" t="n">
        <f aca="false">G192/60*Machinery!$K$16</f>
        <v>0</v>
      </c>
      <c r="N192" s="18" t="n">
        <f aca="false">G192/60*Machinery!$L$16</f>
        <v>0</v>
      </c>
      <c r="O192" s="18" t="n">
        <f aca="false">F192/60*Assumptions!$B$20</f>
        <v>28.719806763285</v>
      </c>
      <c r="P192" s="18" t="n">
        <f aca="false">I192*Assumptions!$B$34*Assumptions!$B$35</f>
        <v>3.23</v>
      </c>
      <c r="Q192" s="18" t="n">
        <f aca="false">SUM(K192:P192)</f>
        <v>131.949806763285</v>
      </c>
      <c r="R192" s="18" t="n">
        <f aca="false">J192-Q192</f>
        <v>34.7168599033817</v>
      </c>
      <c r="S192" s="28" t="n">
        <f aca="false">IF(J192=0,0,R192/J192)</f>
        <v>0.20830115942029</v>
      </c>
      <c r="T192" s="26" t="n">
        <f aca="false">INDEX($B$13:$B$25,MATCH(E192,$A$13:$A$25,0))</f>
        <v>0.55</v>
      </c>
      <c r="U192" s="18" t="n">
        <f aca="false">SUM(K192:O192)/(1-T192-Assumptions!$B$34*Assumptions!$B$35*(1+H192*$B$5))</f>
        <v>298.917390653674</v>
      </c>
      <c r="V192" s="18" t="n">
        <f aca="false">MROUND(U192*(1+H192*$B$5),$B$6)</f>
        <v>359</v>
      </c>
      <c r="W192" s="26" t="n">
        <f aca="false">IF(I192=0,0,V192/I192-1)</f>
        <v>0.795</v>
      </c>
      <c r="X192" s="29" t="n">
        <f aca="false">MROUND(V192*3*(1-$B$7),$B$6)</f>
        <v>969</v>
      </c>
      <c r="Y192" s="29" t="n">
        <f aca="false">MROUND(V192*6*(1-$B$8),$B$6)</f>
        <v>1831</v>
      </c>
      <c r="Z192" s="29" t="n">
        <f aca="false">MROUND(V192*10*(1-$B$9),$B$6)</f>
        <v>2872</v>
      </c>
      <c r="AC192" s="25" t="n">
        <f aca="false">IF(OR(D192="ACTIVE",D192="CONSULTATION"),1,0)</f>
        <v>1</v>
      </c>
    </row>
    <row r="193" customFormat="false" ht="15" hidden="false" customHeight="false" outlineLevel="0" collapsed="false">
      <c r="A193" s="6" t="s">
        <v>453</v>
      </c>
      <c r="B193" s="6" t="s">
        <v>454</v>
      </c>
      <c r="C193" s="2" t="s">
        <v>280</v>
      </c>
      <c r="D193" s="2" t="s">
        <v>320</v>
      </c>
      <c r="E193" s="2" t="s">
        <v>162</v>
      </c>
      <c r="F193" s="25" t="n">
        <v>30</v>
      </c>
      <c r="G193" s="25" t="n">
        <v>30</v>
      </c>
      <c r="H193" s="26" t="n">
        <v>0.2</v>
      </c>
      <c r="I193" s="18" t="n">
        <v>150</v>
      </c>
      <c r="J193" s="18" t="n">
        <f aca="false">I193/(1+H193*$B$5)</f>
        <v>125</v>
      </c>
      <c r="K193" s="27" t="n">
        <v>2</v>
      </c>
      <c r="L193" s="18" t="n">
        <f aca="false">G193/60*Machinery!$H$6*Assumptions!$B$23/100</f>
        <v>0.108</v>
      </c>
      <c r="M193" s="18" t="n">
        <f aca="false">G193/60*Machinery!$K$6</f>
        <v>4.16666666666667</v>
      </c>
      <c r="N193" s="18" t="n">
        <f aca="false">G193/60*Machinery!$L$6</f>
        <v>7.8125</v>
      </c>
      <c r="O193" s="18" t="n">
        <f aca="false">F193/60*Assumptions!$B$20</f>
        <v>17.231884057971</v>
      </c>
      <c r="P193" s="18" t="n">
        <f aca="false">I193*Assumptions!$B$34*Assumptions!$B$35</f>
        <v>2.4225</v>
      </c>
      <c r="Q193" s="18" t="n">
        <f aca="false">SUM(K193:P193)</f>
        <v>33.7415507246377</v>
      </c>
      <c r="R193" s="18" t="n">
        <f aca="false">J193-Q193</f>
        <v>91.2584492753623</v>
      </c>
      <c r="S193" s="28" t="n">
        <f aca="false">IF(J193=0,0,R193/J193)</f>
        <v>0.730067594202899</v>
      </c>
      <c r="T193" s="26" t="n">
        <f aca="false">INDEX($B$13:$B$25,MATCH(E193,$A$13:$A$25,0))</f>
        <v>0.7</v>
      </c>
      <c r="U193" s="18" t="n">
        <f aca="false">SUM(K193:O193)/(1-T193-Assumptions!$B$34*Assumptions!$B$35*(1+H193*$B$5))</f>
        <v>111.606623635656</v>
      </c>
      <c r="V193" s="18" t="n">
        <f aca="false">MROUND(U193*(1+H193*$B$5),$B$6)</f>
        <v>134</v>
      </c>
      <c r="W193" s="26" t="n">
        <f aca="false">IF(I193=0,0,V193/I193-1)</f>
        <v>-0.106666666666667</v>
      </c>
      <c r="X193" s="29" t="n">
        <f aca="false">MROUND(V193*3*(1-$B$7),$B$6)</f>
        <v>362</v>
      </c>
      <c r="Y193" s="29" t="n">
        <f aca="false">MROUND(V193*6*(1-$B$8),$B$6)</f>
        <v>683</v>
      </c>
      <c r="Z193" s="29" t="n">
        <f aca="false">MROUND(V193*10*(1-$B$9),$B$6)</f>
        <v>1072</v>
      </c>
      <c r="AC193" s="25" t="n">
        <f aca="false">IF(OR(D193="ACTIVE",D193="CONSULTATION"),1,0)</f>
        <v>1</v>
      </c>
    </row>
    <row r="194" customFormat="false" ht="15" hidden="false" customHeight="false" outlineLevel="0" collapsed="false">
      <c r="A194" s="6" t="s">
        <v>455</v>
      </c>
      <c r="B194" s="6" t="s">
        <v>456</v>
      </c>
      <c r="C194" s="2" t="s">
        <v>280</v>
      </c>
      <c r="D194" s="2" t="s">
        <v>320</v>
      </c>
      <c r="E194" s="2" t="s">
        <v>162</v>
      </c>
      <c r="F194" s="25" t="n">
        <v>30</v>
      </c>
      <c r="G194" s="25" t="n">
        <v>30</v>
      </c>
      <c r="H194" s="26" t="n">
        <v>0.2</v>
      </c>
      <c r="I194" s="18" t="n">
        <v>150</v>
      </c>
      <c r="J194" s="18" t="n">
        <f aca="false">I194/(1+H194*$B$5)</f>
        <v>125</v>
      </c>
      <c r="K194" s="27" t="n">
        <v>2</v>
      </c>
      <c r="L194" s="18" t="n">
        <f aca="false">G194/60*Machinery!$H$6*Assumptions!$B$23/100</f>
        <v>0.108</v>
      </c>
      <c r="M194" s="18" t="n">
        <f aca="false">G194/60*Machinery!$K$6</f>
        <v>4.16666666666667</v>
      </c>
      <c r="N194" s="18" t="n">
        <f aca="false">G194/60*Machinery!$L$6</f>
        <v>7.8125</v>
      </c>
      <c r="O194" s="18" t="n">
        <f aca="false">F194/60*Assumptions!$B$20</f>
        <v>17.231884057971</v>
      </c>
      <c r="P194" s="18" t="n">
        <f aca="false">I194*Assumptions!$B$34*Assumptions!$B$35</f>
        <v>2.4225</v>
      </c>
      <c r="Q194" s="18" t="n">
        <f aca="false">SUM(K194:P194)</f>
        <v>33.7415507246377</v>
      </c>
      <c r="R194" s="18" t="n">
        <f aca="false">J194-Q194</f>
        <v>91.2584492753623</v>
      </c>
      <c r="S194" s="28" t="n">
        <f aca="false">IF(J194=0,0,R194/J194)</f>
        <v>0.730067594202899</v>
      </c>
      <c r="T194" s="26" t="n">
        <f aca="false">INDEX($B$13:$B$25,MATCH(E194,$A$13:$A$25,0))</f>
        <v>0.7</v>
      </c>
      <c r="U194" s="18" t="n">
        <f aca="false">SUM(K194:O194)/(1-T194-Assumptions!$B$34*Assumptions!$B$35*(1+H194*$B$5))</f>
        <v>111.606623635656</v>
      </c>
      <c r="V194" s="18" t="n">
        <f aca="false">MROUND(U194*(1+H194*$B$5),$B$6)</f>
        <v>134</v>
      </c>
      <c r="W194" s="26" t="n">
        <f aca="false">IF(I194=0,0,V194/I194-1)</f>
        <v>-0.106666666666667</v>
      </c>
      <c r="X194" s="29" t="n">
        <f aca="false">MROUND(V194*3*(1-$B$7),$B$6)</f>
        <v>362</v>
      </c>
      <c r="Y194" s="29" t="n">
        <f aca="false">MROUND(V194*6*(1-$B$8),$B$6)</f>
        <v>683</v>
      </c>
      <c r="Z194" s="29" t="n">
        <f aca="false">MROUND(V194*10*(1-$B$9),$B$6)</f>
        <v>1072</v>
      </c>
      <c r="AC194" s="25" t="n">
        <f aca="false">IF(OR(D194="ACTIVE",D194="CONSULTATION"),1,0)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"/>
    <col collapsed="false" customWidth="true" hidden="false" outlineLevel="0" max="38" min="3" style="0" width="10"/>
  </cols>
  <sheetData>
    <row r="1" customFormat="false" ht="19.7" hidden="false" customHeight="false" outlineLevel="0" collapsed="false">
      <c r="A1" s="1" t="s">
        <v>457</v>
      </c>
    </row>
    <row r="2" customFormat="false" ht="15" hidden="false" customHeight="false" outlineLevel="0" collapsed="false">
      <c r="A2" s="2" t="s">
        <v>458</v>
      </c>
    </row>
    <row r="4" customFormat="false" ht="39.55" hidden="false" customHeight="false" outlineLevel="0" collapsed="false">
      <c r="A4" s="17" t="s">
        <v>459</v>
      </c>
      <c r="B4" s="17" t="s">
        <v>143</v>
      </c>
      <c r="C4" s="17" t="s">
        <v>460</v>
      </c>
      <c r="D4" s="17" t="s">
        <v>461</v>
      </c>
      <c r="E4" s="17" t="s">
        <v>462</v>
      </c>
      <c r="F4" s="17" t="s">
        <v>463</v>
      </c>
      <c r="G4" s="17" t="s">
        <v>464</v>
      </c>
      <c r="H4" s="17" t="s">
        <v>465</v>
      </c>
      <c r="I4" s="17" t="s">
        <v>466</v>
      </c>
      <c r="J4" s="17" t="s">
        <v>467</v>
      </c>
      <c r="K4" s="17" t="s">
        <v>468</v>
      </c>
      <c r="L4" s="17" t="s">
        <v>469</v>
      </c>
      <c r="M4" s="17" t="s">
        <v>470</v>
      </c>
      <c r="N4" s="17" t="s">
        <v>471</v>
      </c>
    </row>
    <row r="5" customFormat="false" ht="15" hidden="false" customHeight="false" outlineLevel="0" collapsed="false">
      <c r="A5" s="6" t="s">
        <v>472</v>
      </c>
      <c r="B5" s="2" t="s">
        <v>157</v>
      </c>
      <c r="C5" s="31" t="n">
        <f aca="false">IFERROR(AVERAGEIFS(Pricing!$F$29:$F$194,Pricing!$E$29:$E$194,B5,Pricing!$AC$29:$AC$194,1),0)</f>
        <v>30.25</v>
      </c>
      <c r="D5" s="10"/>
      <c r="E5" s="31" t="n">
        <f aca="false">IF(D5&lt;&gt;"",D5,C5)</f>
        <v>30.25</v>
      </c>
      <c r="F5" s="18" t="n">
        <f aca="false">IFERROR(AVERAGEIFS(Pricing!$I$29:$I$194,Pricing!$E$29:$E$194,B5,Pricing!$AC$29:$AC$194,1),0)</f>
        <v>80.1333333333333</v>
      </c>
      <c r="G5" s="27"/>
      <c r="H5" s="18" t="n">
        <f aca="false">IF(G5&lt;&gt;"",G5,F5)</f>
        <v>80.1333333333333</v>
      </c>
      <c r="I5" s="18" t="n">
        <f aca="false">IFERROR(AVERAGEIFS(Pricing!$K$29:$K$194,Pricing!$E$29:$E$194,B5,Pricing!$AC$29:$AC$194,1)+AVERAGEIFS(Pricing!$L$29:$L$194,Pricing!$E$29:$E$194,B5,Pricing!$AC$29:$AC$194,1)+AVERAGEIFS(Pricing!$M$29:$M$194,Pricing!$E$29:$E$194,B5,Pricing!$AC$29:$AC$194,1),0)</f>
        <v>2.113625</v>
      </c>
      <c r="J5" s="27"/>
      <c r="K5" s="18" t="n">
        <f aca="false">IF(J5&lt;&gt;"",J5,I5)</f>
        <v>2.113625</v>
      </c>
      <c r="L5" s="31" t="n">
        <f aca="false">IFERROR(AVERAGEIFS(Pricing!$G$29:$G$194,Pricing!$E$29:$E$194,B5,Pricing!$AC$29:$AC$194,1),0)</f>
        <v>30.25</v>
      </c>
      <c r="M5" s="32" t="n">
        <f aca="false">Machinery!$H$5</f>
        <v>1</v>
      </c>
      <c r="N5" s="15" t="n">
        <v>0.495</v>
      </c>
    </row>
    <row r="6" customFormat="false" ht="15" hidden="false" customHeight="false" outlineLevel="0" collapsed="false">
      <c r="A6" s="6" t="s">
        <v>473</v>
      </c>
      <c r="B6" s="2" t="s">
        <v>162</v>
      </c>
      <c r="C6" s="31" t="n">
        <f aca="false">IFERROR(AVERAGEIFS(Pricing!$F$29:$F$194,Pricing!$E$29:$E$194,B6,Pricing!$AC$29:$AC$194,1),0)</f>
        <v>35</v>
      </c>
      <c r="D6" s="10"/>
      <c r="E6" s="31" t="n">
        <f aca="false">IF(D6&lt;&gt;"",D6,C6)</f>
        <v>35</v>
      </c>
      <c r="F6" s="18" t="n">
        <f aca="false">IFERROR(AVERAGEIFS(Pricing!$I$29:$I$194,Pricing!$E$29:$E$194,B6,Pricing!$AC$29:$AC$194,1),0)</f>
        <v>203.583333333333</v>
      </c>
      <c r="G6" s="27"/>
      <c r="H6" s="18" t="n">
        <f aca="false">IF(G6&lt;&gt;"",G6,F6)</f>
        <v>203.583333333333</v>
      </c>
      <c r="I6" s="18" t="n">
        <f aca="false">IFERROR(AVERAGEIFS(Pricing!$K$29:$K$194,Pricing!$E$29:$E$194,B6,Pricing!$AC$29:$AC$194,1)+AVERAGEIFS(Pricing!$L$29:$L$194,Pricing!$E$29:$E$194,B6,Pricing!$AC$29:$AC$194,1)+AVERAGEIFS(Pricing!$M$29:$M$194,Pricing!$E$29:$E$194,B6,Pricing!$AC$29:$AC$194,1),0)</f>
        <v>7.07044444444445</v>
      </c>
      <c r="J6" s="27"/>
      <c r="K6" s="18" t="n">
        <f aca="false">IF(J6&lt;&gt;"",J6,I6)</f>
        <v>7.07044444444445</v>
      </c>
      <c r="L6" s="31" t="n">
        <f aca="false">IFERROR(AVERAGEIFS(Pricing!$G$29:$G$194,Pricing!$E$29:$E$194,B6,Pricing!$AC$29:$AC$194,1),0)</f>
        <v>35</v>
      </c>
      <c r="M6" s="32" t="n">
        <f aca="false">Machinery!$H$6</f>
        <v>0.8</v>
      </c>
      <c r="N6" s="15" t="n">
        <v>0.03</v>
      </c>
    </row>
    <row r="7" customFormat="false" ht="15" hidden="false" customHeight="false" outlineLevel="0" collapsed="false">
      <c r="A7" s="6" t="s">
        <v>474</v>
      </c>
      <c r="B7" s="2" t="s">
        <v>177</v>
      </c>
      <c r="C7" s="31" t="n">
        <f aca="false">IFERROR(AVERAGEIFS(Pricing!$F$29:$F$194,Pricing!$E$29:$E$194,B7,Pricing!$AC$29:$AC$194,1),0)</f>
        <v>50</v>
      </c>
      <c r="D7" s="10"/>
      <c r="E7" s="31" t="n">
        <f aca="false">IF(D7&lt;&gt;"",D7,C7)</f>
        <v>50</v>
      </c>
      <c r="F7" s="18" t="n">
        <f aca="false">IFERROR(AVERAGEIFS(Pricing!$I$29:$I$194,Pricing!$E$29:$E$194,B7,Pricing!$AC$29:$AC$194,1),0)</f>
        <v>376.692307692308</v>
      </c>
      <c r="G7" s="27"/>
      <c r="H7" s="18" t="n">
        <f aca="false">IF(G7&lt;&gt;"",G7,F7)</f>
        <v>376.692307692308</v>
      </c>
      <c r="I7" s="18" t="n">
        <f aca="false">IFERROR(AVERAGEIFS(Pricing!$K$29:$K$194,Pricing!$E$29:$E$194,B7,Pricing!$AC$29:$AC$194,1)+AVERAGEIFS(Pricing!$L$29:$L$194,Pricing!$E$29:$E$194,B7,Pricing!$AC$29:$AC$194,1)+AVERAGEIFS(Pricing!$M$29:$M$194,Pricing!$E$29:$E$194,B7,Pricing!$AC$29:$AC$194,1),0)</f>
        <v>70.5482692307692</v>
      </c>
      <c r="J7" s="27"/>
      <c r="K7" s="18" t="n">
        <f aca="false">IF(J7&lt;&gt;"",J7,I7)</f>
        <v>70.5482692307692</v>
      </c>
      <c r="L7" s="31" t="n">
        <f aca="false">IFERROR(AVERAGEIFS(Pricing!$G$29:$G$194,Pricing!$E$29:$E$194,B7,Pricing!$AC$29:$AC$194,1),0)</f>
        <v>50</v>
      </c>
      <c r="M7" s="32" t="n">
        <f aca="false">Machinery!$H$9</f>
        <v>0.3</v>
      </c>
      <c r="N7" s="15" t="n">
        <v>0.02</v>
      </c>
    </row>
    <row r="8" customFormat="false" ht="15" hidden="false" customHeight="false" outlineLevel="0" collapsed="false">
      <c r="A8" s="6" t="s">
        <v>475</v>
      </c>
      <c r="B8" s="2" t="s">
        <v>182</v>
      </c>
      <c r="C8" s="31" t="n">
        <f aca="false">IFERROR(AVERAGEIFS(Pricing!$F$29:$F$194,Pricing!$E$29:$E$194,B8,Pricing!$AC$29:$AC$194,1),0)</f>
        <v>60</v>
      </c>
      <c r="D8" s="10"/>
      <c r="E8" s="31" t="n">
        <f aca="false">IF(D8&lt;&gt;"",D8,C8)</f>
        <v>60</v>
      </c>
      <c r="F8" s="18" t="n">
        <f aca="false">IFERROR(AVERAGEIFS(Pricing!$I$29:$I$194,Pricing!$E$29:$E$194,B8,Pricing!$AC$29:$AC$194,1),0)</f>
        <v>260</v>
      </c>
      <c r="G8" s="27"/>
      <c r="H8" s="18" t="n">
        <f aca="false">IF(G8&lt;&gt;"",G8,F8)</f>
        <v>260</v>
      </c>
      <c r="I8" s="18" t="n">
        <f aca="false">IFERROR(AVERAGEIFS(Pricing!$K$29:$K$194,Pricing!$E$29:$E$194,B8,Pricing!$AC$29:$AC$194,1)+AVERAGEIFS(Pricing!$L$29:$L$194,Pricing!$E$29:$E$194,B8,Pricing!$AC$29:$AC$194,1)+AVERAGEIFS(Pricing!$M$29:$M$194,Pricing!$E$29:$E$194,B8,Pricing!$AC$29:$AC$194,1),0)</f>
        <v>23.9683333333333</v>
      </c>
      <c r="J8" s="27"/>
      <c r="K8" s="18" t="n">
        <f aca="false">IF(J8&lt;&gt;"",J8,I8)</f>
        <v>23.9683333333333</v>
      </c>
      <c r="L8" s="31" t="n">
        <f aca="false">IFERROR(AVERAGEIFS(Pricing!$G$29:$G$194,Pricing!$E$29:$E$194,B8,Pricing!$AC$29:$AC$194,1),0)</f>
        <v>60</v>
      </c>
      <c r="M8" s="32" t="n">
        <f aca="false">Machinery!$H$10</f>
        <v>0.5</v>
      </c>
      <c r="N8" s="15" t="n">
        <v>0.02</v>
      </c>
    </row>
    <row r="9" customFormat="false" ht="15" hidden="false" customHeight="false" outlineLevel="0" collapsed="false">
      <c r="A9" s="6" t="s">
        <v>476</v>
      </c>
      <c r="B9" s="2" t="s">
        <v>187</v>
      </c>
      <c r="C9" s="31" t="n">
        <f aca="false">IFERROR(AVERAGEIFS(Pricing!$F$29:$F$194,Pricing!$E$29:$E$194,B9,Pricing!$AC$29:$AC$194,1),0)</f>
        <v>65.9090909090909</v>
      </c>
      <c r="D9" s="10"/>
      <c r="E9" s="31" t="n">
        <f aca="false">IF(D9&lt;&gt;"",D9,C9)</f>
        <v>65.9090909090909</v>
      </c>
      <c r="F9" s="18" t="n">
        <f aca="false">IFERROR(AVERAGEIFS(Pricing!$I$29:$I$194,Pricing!$E$29:$E$194,B9,Pricing!$AC$29:$AC$194,1),0)</f>
        <v>157.727272727273</v>
      </c>
      <c r="G9" s="27"/>
      <c r="H9" s="18" t="n">
        <f aca="false">IF(G9&lt;&gt;"",G9,F9)</f>
        <v>157.727272727273</v>
      </c>
      <c r="I9" s="18" t="n">
        <f aca="false">IFERROR(AVERAGEIFS(Pricing!$K$29:$K$194,Pricing!$E$29:$E$194,B9,Pricing!$AC$29:$AC$194,1)+AVERAGEIFS(Pricing!$L$29:$L$194,Pricing!$E$29:$E$194,B9,Pricing!$AC$29:$AC$194,1)+AVERAGEIFS(Pricing!$M$29:$M$194,Pricing!$E$29:$E$194,B9,Pricing!$AC$29:$AC$194,1),0)</f>
        <v>20.9841919191919</v>
      </c>
      <c r="J9" s="27"/>
      <c r="K9" s="18" t="n">
        <f aca="false">IF(J9&lt;&gt;"",J9,I9)</f>
        <v>20.9841919191919</v>
      </c>
      <c r="L9" s="31" t="n">
        <f aca="false">IFERROR(AVERAGEIFS(Pricing!$G$29:$G$194,Pricing!$E$29:$E$194,B9,Pricing!$AC$29:$AC$194,1),0)</f>
        <v>65.9090909090909</v>
      </c>
      <c r="M9" s="32" t="n">
        <f aca="false">Machinery!$H$11</f>
        <v>0.2</v>
      </c>
      <c r="N9" s="15" t="n">
        <v>0.11</v>
      </c>
    </row>
    <row r="10" customFormat="false" ht="15" hidden="false" customHeight="false" outlineLevel="0" collapsed="false">
      <c r="A10" s="6" t="s">
        <v>477</v>
      </c>
      <c r="B10" s="2" t="s">
        <v>191</v>
      </c>
      <c r="C10" s="31" t="n">
        <f aca="false">IFERROR(AVERAGEIFS(Pricing!$F$29:$F$194,Pricing!$E$29:$E$194,B10,Pricing!$AC$29:$AC$194,1),0)</f>
        <v>51.4285714285714</v>
      </c>
      <c r="D10" s="10"/>
      <c r="E10" s="31" t="n">
        <f aca="false">IF(D10&lt;&gt;"",D10,C10)</f>
        <v>51.4285714285714</v>
      </c>
      <c r="F10" s="18" t="n">
        <f aca="false">IFERROR(AVERAGEIFS(Pricing!$I$29:$I$194,Pricing!$E$29:$E$194,B10,Pricing!$AC$29:$AC$194,1),0)</f>
        <v>103.571428571429</v>
      </c>
      <c r="G10" s="27"/>
      <c r="H10" s="18" t="n">
        <f aca="false">IF(G10&lt;&gt;"",G10,F10)</f>
        <v>103.571428571429</v>
      </c>
      <c r="I10" s="18" t="n">
        <f aca="false">IFERROR(AVERAGEIFS(Pricing!$K$29:$K$194,Pricing!$E$29:$E$194,B10,Pricing!$AC$29:$AC$194,1)+AVERAGEIFS(Pricing!$L$29:$L$194,Pricing!$E$29:$E$194,B10,Pricing!$AC$29:$AC$194,1)+AVERAGEIFS(Pricing!$M$29:$M$194,Pricing!$E$29:$E$194,B10,Pricing!$AC$29:$AC$194,1),0)</f>
        <v>4.93020634920635</v>
      </c>
      <c r="J10" s="27"/>
      <c r="K10" s="18" t="n">
        <f aca="false">IF(J10&lt;&gt;"",J10,I10)</f>
        <v>4.93020634920635</v>
      </c>
      <c r="L10" s="31" t="n">
        <f aca="false">IFERROR(AVERAGEIFS(Pricing!$G$29:$G$194,Pricing!$E$29:$E$194,B10,Pricing!$AC$29:$AC$194,1),0)</f>
        <v>51.4285714285714</v>
      </c>
      <c r="M10" s="32" t="n">
        <f aca="false">Machinery!$H$12</f>
        <v>0.35</v>
      </c>
      <c r="N10" s="15" t="n">
        <v>0.08</v>
      </c>
    </row>
    <row r="11" customFormat="false" ht="15" hidden="false" customHeight="false" outlineLevel="0" collapsed="false">
      <c r="A11" s="6" t="s">
        <v>478</v>
      </c>
      <c r="B11" s="2" t="s">
        <v>196</v>
      </c>
      <c r="C11" s="31" t="n">
        <f aca="false">IFERROR(AVERAGEIFS(Pricing!$F$29:$F$194,Pricing!$E$29:$E$194,B11,Pricing!$AC$29:$AC$194,1),0)</f>
        <v>60</v>
      </c>
      <c r="D11" s="10"/>
      <c r="E11" s="31" t="n">
        <f aca="false">IF(D11&lt;&gt;"",D11,C11)</f>
        <v>60</v>
      </c>
      <c r="F11" s="18" t="n">
        <f aca="false">IFERROR(AVERAGEIFS(Pricing!$I$29:$I$194,Pricing!$E$29:$E$194,B11,Pricing!$AC$29:$AC$194,1),0)</f>
        <v>125</v>
      </c>
      <c r="G11" s="27"/>
      <c r="H11" s="18" t="n">
        <f aca="false">IF(G11&lt;&gt;"",G11,F11)</f>
        <v>125</v>
      </c>
      <c r="I11" s="18" t="n">
        <f aca="false">IFERROR(AVERAGEIFS(Pricing!$K$29:$K$194,Pricing!$E$29:$E$194,B11,Pricing!$AC$29:$AC$194,1)+AVERAGEIFS(Pricing!$L$29:$L$194,Pricing!$E$29:$E$194,B11,Pricing!$AC$29:$AC$194,1)+AVERAGEIFS(Pricing!$M$29:$M$194,Pricing!$E$29:$E$194,B11,Pricing!$AC$29:$AC$194,1),0)</f>
        <v>25.968362962963</v>
      </c>
      <c r="J11" s="27"/>
      <c r="K11" s="18" t="n">
        <f aca="false">IF(J11&lt;&gt;"",J11,I11)</f>
        <v>25.968362962963</v>
      </c>
      <c r="L11" s="31" t="n">
        <f aca="false">IFERROR(AVERAGEIFS(Pricing!$G$29:$G$194,Pricing!$E$29:$E$194,B11,Pricing!$AC$29:$AC$194,1),0)</f>
        <v>60</v>
      </c>
      <c r="M11" s="32" t="n">
        <f aca="false">Machinery!$H$13</f>
        <v>0.02</v>
      </c>
      <c r="N11" s="15" t="n">
        <v>0.03</v>
      </c>
    </row>
    <row r="12" customFormat="false" ht="15" hidden="false" customHeight="false" outlineLevel="0" collapsed="false">
      <c r="A12" s="6" t="s">
        <v>426</v>
      </c>
      <c r="B12" s="2" t="s">
        <v>200</v>
      </c>
      <c r="C12" s="31" t="n">
        <f aca="false">IFERROR(AVERAGEIFS(Pricing!$F$29:$F$194,Pricing!$E$29:$E$194,B12,Pricing!$AC$29:$AC$194,1),0)</f>
        <v>30</v>
      </c>
      <c r="D12" s="10"/>
      <c r="E12" s="31" t="n">
        <f aca="false">IF(D12&lt;&gt;"",D12,C12)</f>
        <v>30</v>
      </c>
      <c r="F12" s="18" t="n">
        <f aca="false">IFERROR(AVERAGEIFS(Pricing!$I$29:$I$194,Pricing!$E$29:$E$194,B12,Pricing!$AC$29:$AC$194,1),0)</f>
        <v>80</v>
      </c>
      <c r="G12" s="27"/>
      <c r="H12" s="18" t="n">
        <f aca="false">IF(G12&lt;&gt;"",G12,F12)</f>
        <v>80</v>
      </c>
      <c r="I12" s="18" t="n">
        <f aca="false">IFERROR(AVERAGEIFS(Pricing!$K$29:$K$194,Pricing!$E$29:$E$194,B12,Pricing!$AC$29:$AC$194,1)+AVERAGEIFS(Pricing!$L$29:$L$194,Pricing!$E$29:$E$194,B12,Pricing!$AC$29:$AC$194,1)+AVERAGEIFS(Pricing!$M$29:$M$194,Pricing!$E$29:$E$194,B12,Pricing!$AC$29:$AC$194,1),0)</f>
        <v>3.59625</v>
      </c>
      <c r="J12" s="27"/>
      <c r="K12" s="18" t="n">
        <f aca="false">IF(J12&lt;&gt;"",J12,I12)</f>
        <v>3.59625</v>
      </c>
      <c r="L12" s="31" t="n">
        <f aca="false">IFERROR(AVERAGEIFS(Pricing!$G$29:$G$194,Pricing!$E$29:$E$194,B12,Pricing!$AC$29:$AC$194,1),0)</f>
        <v>30</v>
      </c>
      <c r="M12" s="32" t="n">
        <f aca="false">Machinery!$H$14</f>
        <v>0.25</v>
      </c>
      <c r="N12" s="15" t="n">
        <v>0.005</v>
      </c>
    </row>
    <row r="13" customFormat="false" ht="15" hidden="false" customHeight="false" outlineLevel="0" collapsed="false">
      <c r="A13" s="6" t="s">
        <v>479</v>
      </c>
      <c r="B13" s="2" t="s">
        <v>205</v>
      </c>
      <c r="C13" s="31" t="n">
        <f aca="false">IFERROR(AVERAGEIFS(Pricing!$F$29:$F$194,Pricing!$E$29:$E$194,B13,Pricing!$AC$29:$AC$194,1),0)</f>
        <v>48.75</v>
      </c>
      <c r="D13" s="10"/>
      <c r="E13" s="31" t="n">
        <f aca="false">IF(D13&lt;&gt;"",D13,C13)</f>
        <v>48.75</v>
      </c>
      <c r="F13" s="18" t="n">
        <f aca="false">IFERROR(AVERAGEIFS(Pricing!$I$29:$I$194,Pricing!$E$29:$E$194,B13,Pricing!$AC$29:$AC$194,1),0)</f>
        <v>105</v>
      </c>
      <c r="G13" s="27"/>
      <c r="H13" s="18" t="n">
        <f aca="false">IF(G13&lt;&gt;"",G13,F13)</f>
        <v>105</v>
      </c>
      <c r="I13" s="18" t="n">
        <f aca="false">IFERROR(AVERAGEIFS(Pricing!$K$29:$K$194,Pricing!$E$29:$E$194,B13,Pricing!$AC$29:$AC$194,1)+AVERAGEIFS(Pricing!$L$29:$L$194,Pricing!$E$29:$E$194,B13,Pricing!$AC$29:$AC$194,1)+AVERAGEIFS(Pricing!$M$29:$M$194,Pricing!$E$29:$E$194,B13,Pricing!$AC$29:$AC$194,1),0)</f>
        <v>5.8031875</v>
      </c>
      <c r="J13" s="27"/>
      <c r="K13" s="18" t="n">
        <f aca="false">IF(J13&lt;&gt;"",J13,I13)</f>
        <v>5.8031875</v>
      </c>
      <c r="L13" s="31" t="n">
        <f aca="false">IFERROR(AVERAGEIFS(Pricing!$G$29:$G$194,Pricing!$E$29:$E$194,B13,Pricing!$AC$29:$AC$194,1),0)</f>
        <v>48.75</v>
      </c>
      <c r="M13" s="32" t="n">
        <f aca="false">Machinery!$H$15</f>
        <v>0.1</v>
      </c>
      <c r="N13" s="15" t="n">
        <v>0.04</v>
      </c>
    </row>
    <row r="14" customFormat="false" ht="15" hidden="false" customHeight="false" outlineLevel="0" collapsed="false">
      <c r="A14" s="6" t="s">
        <v>480</v>
      </c>
      <c r="B14" s="2" t="s">
        <v>210</v>
      </c>
      <c r="C14" s="31" t="n">
        <f aca="false">IFERROR(AVERAGEIFS(Pricing!$F$29:$F$194,Pricing!$E$29:$E$194,B14,Pricing!$AC$29:$AC$194,1),0)</f>
        <v>40.2272727272727</v>
      </c>
      <c r="D14" s="10"/>
      <c r="E14" s="31" t="n">
        <f aca="false">IF(D14&lt;&gt;"",D14,C14)</f>
        <v>40.2272727272727</v>
      </c>
      <c r="F14" s="18" t="n">
        <f aca="false">IFERROR(AVERAGEIFS(Pricing!$I$29:$I$194,Pricing!$E$29:$E$194,B14,Pricing!$AC$29:$AC$194,1),0)</f>
        <v>204.545454545455</v>
      </c>
      <c r="G14" s="27"/>
      <c r="H14" s="18" t="n">
        <f aca="false">IF(G14&lt;&gt;"",G14,F14)</f>
        <v>204.545454545455</v>
      </c>
      <c r="I14" s="18" t="n">
        <f aca="false">IFERROR(AVERAGEIFS(Pricing!$K$29:$K$194,Pricing!$E$29:$E$194,B14,Pricing!$AC$29:$AC$194,1)+AVERAGEIFS(Pricing!$L$29:$L$194,Pricing!$E$29:$E$194,B14,Pricing!$AC$29:$AC$194,1)+AVERAGEIFS(Pricing!$M$29:$M$194,Pricing!$E$29:$E$194,B14,Pricing!$AC$29:$AC$194,1),0)</f>
        <v>55.2272727272727</v>
      </c>
      <c r="J14" s="27"/>
      <c r="K14" s="18" t="n">
        <f aca="false">IF(J14&lt;&gt;"",J14,I14)</f>
        <v>55.2272727272727</v>
      </c>
      <c r="L14" s="31" t="n">
        <f aca="false">IFERROR(AVERAGEIFS(Pricing!$G$29:$G$194,Pricing!$E$29:$E$194,B14,Pricing!$AC$29:$AC$194,1),0)</f>
        <v>0</v>
      </c>
      <c r="M14" s="32" t="n">
        <f aca="false">Machinery!$H$16</f>
        <v>0</v>
      </c>
      <c r="N14" s="15" t="n">
        <v>0.03</v>
      </c>
    </row>
    <row r="15" customFormat="false" ht="15" hidden="false" customHeight="false" outlineLevel="0" collapsed="false">
      <c r="A15" s="6" t="s">
        <v>481</v>
      </c>
      <c r="B15" s="2" t="s">
        <v>215</v>
      </c>
      <c r="C15" s="31" t="n">
        <f aca="false">IFERROR(AVERAGEIFS(Pricing!$F$29:$F$194,Pricing!$E$29:$E$194,B15,Pricing!$AC$29:$AC$194,1),0)</f>
        <v>46.25</v>
      </c>
      <c r="D15" s="10"/>
      <c r="E15" s="31" t="n">
        <f aca="false">IF(D15&lt;&gt;"",D15,C15)</f>
        <v>46.25</v>
      </c>
      <c r="F15" s="18" t="n">
        <f aca="false">IFERROR(AVERAGEIFS(Pricing!$I$29:$I$194,Pricing!$E$29:$E$194,B15,Pricing!$AC$29:$AC$194,1),0)</f>
        <v>78.75</v>
      </c>
      <c r="G15" s="27"/>
      <c r="H15" s="18" t="n">
        <f aca="false">IF(G15&lt;&gt;"",G15,F15)</f>
        <v>78.75</v>
      </c>
      <c r="I15" s="18" t="n">
        <f aca="false">IFERROR(AVERAGEIFS(Pricing!$K$29:$K$194,Pricing!$E$29:$E$194,B15,Pricing!$AC$29:$AC$194,1)+AVERAGEIFS(Pricing!$L$29:$L$194,Pricing!$E$29:$E$194,B15,Pricing!$AC$29:$AC$194,1)+AVERAGEIFS(Pricing!$M$29:$M$194,Pricing!$E$29:$E$194,B15,Pricing!$AC$29:$AC$194,1),0)</f>
        <v>3.375</v>
      </c>
      <c r="J15" s="27"/>
      <c r="K15" s="18" t="n">
        <f aca="false">IF(J15&lt;&gt;"",J15,I15)</f>
        <v>3.375</v>
      </c>
      <c r="L15" s="31" t="n">
        <f aca="false">IFERROR(AVERAGEIFS(Pricing!$G$29:$G$194,Pricing!$E$29:$E$194,B15,Pricing!$AC$29:$AC$194,1),0)</f>
        <v>0</v>
      </c>
      <c r="M15" s="32" t="n">
        <f aca="false">Machinery!$H$17</f>
        <v>0.1</v>
      </c>
      <c r="N15" s="15" t="n">
        <v>0.02</v>
      </c>
    </row>
    <row r="16" customFormat="false" ht="15" hidden="false" customHeight="false" outlineLevel="0" collapsed="false">
      <c r="A16" s="6" t="s">
        <v>482</v>
      </c>
      <c r="B16" s="2" t="s">
        <v>172</v>
      </c>
      <c r="C16" s="31" t="n">
        <f aca="false">IFERROR(AVERAGEIFS(Pricing!$F$29:$F$194,Pricing!$E$29:$E$194,B16,Pricing!$AC$29:$AC$194,1),0)</f>
        <v>0</v>
      </c>
      <c r="D16" s="10"/>
      <c r="E16" s="31" t="n">
        <f aca="false">IF(D16&lt;&gt;"",D16,C16)</f>
        <v>0</v>
      </c>
      <c r="F16" s="18" t="n">
        <f aca="false">IFERROR(AVERAGEIFS(Pricing!$I$29:$I$194,Pricing!$E$29:$E$194,B16,Pricing!$AC$29:$AC$194,1),0)</f>
        <v>0</v>
      </c>
      <c r="G16" s="27"/>
      <c r="H16" s="18" t="n">
        <f aca="false">IF(G16&lt;&gt;"",G16,F16)</f>
        <v>0</v>
      </c>
      <c r="I16" s="18" t="n">
        <f aca="false">IFERROR(AVERAGEIFS(Pricing!$K$29:$K$194,Pricing!$E$29:$E$194,B16,Pricing!$AC$29:$AC$194,1)+AVERAGEIFS(Pricing!$L$29:$L$194,Pricing!$E$29:$E$194,B16,Pricing!$AC$29:$AC$194,1)+AVERAGEIFS(Pricing!$M$29:$M$194,Pricing!$E$29:$E$194,B16,Pricing!$AC$29:$AC$194,1),0)</f>
        <v>0</v>
      </c>
      <c r="J16" s="27"/>
      <c r="K16" s="18" t="n">
        <f aca="false">IF(J16&lt;&gt;"",J16,I16)</f>
        <v>0</v>
      </c>
      <c r="L16" s="31" t="n">
        <f aca="false">IFERROR(AVERAGEIFS(Pricing!$G$29:$G$194,Pricing!$E$29:$E$194,B16,Pricing!$AC$29:$AC$194,1),0)</f>
        <v>0</v>
      </c>
      <c r="M16" s="32" t="n">
        <f aca="false">Machinery!$H$8</f>
        <v>0.4</v>
      </c>
      <c r="N16" s="15" t="n">
        <v>0</v>
      </c>
    </row>
    <row r="17" customFormat="false" ht="15" hidden="false" customHeight="false" outlineLevel="0" collapsed="false">
      <c r="A17" s="6" t="s">
        <v>483</v>
      </c>
      <c r="B17" s="2" t="s">
        <v>167</v>
      </c>
      <c r="C17" s="31" t="n">
        <f aca="false">IFERROR(AVERAGEIFS(Pricing!$F$29:$F$194,Pricing!$E$29:$E$194,B17,Pricing!$AC$29:$AC$194,1),0)</f>
        <v>0</v>
      </c>
      <c r="D17" s="10"/>
      <c r="E17" s="31" t="n">
        <f aca="false">IF(D17&lt;&gt;"",D17,C17)</f>
        <v>0</v>
      </c>
      <c r="F17" s="18" t="n">
        <f aca="false">IFERROR(AVERAGEIFS(Pricing!$I$29:$I$194,Pricing!$E$29:$E$194,B17,Pricing!$AC$29:$AC$194,1),0)</f>
        <v>0</v>
      </c>
      <c r="G17" s="27"/>
      <c r="H17" s="18" t="n">
        <f aca="false">IF(G17&lt;&gt;"",G17,F17)</f>
        <v>0</v>
      </c>
      <c r="I17" s="18" t="n">
        <f aca="false">IFERROR(AVERAGEIFS(Pricing!$K$29:$K$194,Pricing!$E$29:$E$194,B17,Pricing!$AC$29:$AC$194,1)+AVERAGEIFS(Pricing!$L$29:$L$194,Pricing!$E$29:$E$194,B17,Pricing!$AC$29:$AC$194,1)+AVERAGEIFS(Pricing!$M$29:$M$194,Pricing!$E$29:$E$194,B17,Pricing!$AC$29:$AC$194,1),0)</f>
        <v>0</v>
      </c>
      <c r="J17" s="27"/>
      <c r="K17" s="18" t="n">
        <f aca="false">IF(J17&lt;&gt;"",J17,I17)</f>
        <v>0</v>
      </c>
      <c r="L17" s="31" t="n">
        <f aca="false">IFERROR(AVERAGEIFS(Pricing!$G$29:$G$194,Pricing!$E$29:$E$194,B17,Pricing!$AC$29:$AC$194,1),0)</f>
        <v>0</v>
      </c>
      <c r="M17" s="32" t="n">
        <f aca="false">Machinery!$H$7</f>
        <v>1</v>
      </c>
      <c r="N17" s="15" t="n">
        <v>0</v>
      </c>
    </row>
    <row r="18" customFormat="false" ht="15" hidden="false" customHeight="false" outlineLevel="0" collapsed="false">
      <c r="A18" s="6" t="s">
        <v>484</v>
      </c>
      <c r="B18" s="2" t="s">
        <v>485</v>
      </c>
      <c r="C18" s="31" t="n">
        <v>0</v>
      </c>
      <c r="D18" s="10" t="n">
        <v>20</v>
      </c>
      <c r="E18" s="31" t="n">
        <f aca="false">IF(D18&lt;&gt;"",D18,C18)</f>
        <v>20</v>
      </c>
      <c r="F18" s="18" t="n">
        <v>0</v>
      </c>
      <c r="G18" s="27" t="n">
        <v>0</v>
      </c>
      <c r="H18" s="18" t="n">
        <f aca="false">IF(G18&lt;&gt;"",G18,F18)</f>
        <v>0</v>
      </c>
      <c r="I18" s="18" t="n">
        <v>0</v>
      </c>
      <c r="J18" s="27" t="n">
        <v>1</v>
      </c>
      <c r="K18" s="18" t="n">
        <f aca="false">IF(J18&lt;&gt;"",J18,I18)</f>
        <v>1</v>
      </c>
      <c r="L18" s="31" t="n">
        <v>0</v>
      </c>
      <c r="M18" s="32" t="n">
        <v>0</v>
      </c>
      <c r="N18" s="15" t="n">
        <v>0.12</v>
      </c>
    </row>
    <row r="19" customFormat="false" ht="15" hidden="false" customHeight="false" outlineLevel="0" collapsed="false">
      <c r="A19" s="20" t="s">
        <v>486</v>
      </c>
      <c r="N19" s="33" t="n">
        <f aca="false">SUM(N5:N18)</f>
        <v>1</v>
      </c>
    </row>
    <row r="22" customFormat="false" ht="15" hidden="false" customHeight="false" outlineLevel="0" collapsed="false">
      <c r="A22" s="3" t="s">
        <v>487</v>
      </c>
    </row>
    <row r="23" customFormat="false" ht="15" hidden="false" customHeight="false" outlineLevel="0" collapsed="false">
      <c r="A23" s="20" t="s">
        <v>488</v>
      </c>
      <c r="C23" s="34" t="n">
        <f aca="false">EDATE(Assumptions!$B$5,COLUMN()-3)</f>
        <v>46266</v>
      </c>
      <c r="D23" s="34" t="n">
        <f aca="false">EDATE(Assumptions!$B$5,COLUMN()-3)</f>
        <v>46296</v>
      </c>
      <c r="E23" s="34" t="n">
        <f aca="false">EDATE(Assumptions!$B$5,COLUMN()-3)</f>
        <v>46327</v>
      </c>
      <c r="F23" s="34" t="n">
        <f aca="false">EDATE(Assumptions!$B$5,COLUMN()-3)</f>
        <v>46357</v>
      </c>
      <c r="G23" s="34" t="n">
        <f aca="false">EDATE(Assumptions!$B$5,COLUMN()-3)</f>
        <v>46388</v>
      </c>
      <c r="H23" s="34" t="n">
        <f aca="false">EDATE(Assumptions!$B$5,COLUMN()-3)</f>
        <v>46419</v>
      </c>
      <c r="I23" s="34" t="n">
        <f aca="false">EDATE(Assumptions!$B$5,COLUMN()-3)</f>
        <v>46447</v>
      </c>
      <c r="J23" s="34" t="n">
        <f aca="false">EDATE(Assumptions!$B$5,COLUMN()-3)</f>
        <v>46478</v>
      </c>
      <c r="K23" s="34" t="n">
        <f aca="false">EDATE(Assumptions!$B$5,COLUMN()-3)</f>
        <v>46508</v>
      </c>
      <c r="L23" s="34" t="n">
        <f aca="false">EDATE(Assumptions!$B$5,COLUMN()-3)</f>
        <v>46539</v>
      </c>
      <c r="M23" s="34" t="n">
        <f aca="false">EDATE(Assumptions!$B$5,COLUMN()-3)</f>
        <v>46569</v>
      </c>
      <c r="N23" s="34" t="n">
        <f aca="false">EDATE(Assumptions!$B$5,COLUMN()-3)</f>
        <v>46600</v>
      </c>
      <c r="O23" s="34" t="n">
        <f aca="false">EDATE(Assumptions!$B$5,COLUMN()-3)</f>
        <v>46631</v>
      </c>
      <c r="P23" s="34" t="n">
        <f aca="false">EDATE(Assumptions!$B$5,COLUMN()-3)</f>
        <v>46661</v>
      </c>
      <c r="Q23" s="34" t="n">
        <f aca="false">EDATE(Assumptions!$B$5,COLUMN()-3)</f>
        <v>46692</v>
      </c>
      <c r="R23" s="34" t="n">
        <f aca="false">EDATE(Assumptions!$B$5,COLUMN()-3)</f>
        <v>46722</v>
      </c>
      <c r="S23" s="34" t="n">
        <f aca="false">EDATE(Assumptions!$B$5,COLUMN()-3)</f>
        <v>46753</v>
      </c>
      <c r="T23" s="34" t="n">
        <f aca="false">EDATE(Assumptions!$B$5,COLUMN()-3)</f>
        <v>46784</v>
      </c>
      <c r="U23" s="34" t="n">
        <f aca="false">EDATE(Assumptions!$B$5,COLUMN()-3)</f>
        <v>46813</v>
      </c>
      <c r="V23" s="34" t="n">
        <f aca="false">EDATE(Assumptions!$B$5,COLUMN()-3)</f>
        <v>46844</v>
      </c>
      <c r="W23" s="34" t="n">
        <f aca="false">EDATE(Assumptions!$B$5,COLUMN()-3)</f>
        <v>46874</v>
      </c>
      <c r="X23" s="34" t="n">
        <f aca="false">EDATE(Assumptions!$B$5,COLUMN()-3)</f>
        <v>46905</v>
      </c>
      <c r="Y23" s="34" t="n">
        <f aca="false">EDATE(Assumptions!$B$5,COLUMN()-3)</f>
        <v>46935</v>
      </c>
      <c r="Z23" s="34" t="n">
        <f aca="false">EDATE(Assumptions!$B$5,COLUMN()-3)</f>
        <v>46966</v>
      </c>
      <c r="AA23" s="34" t="n">
        <f aca="false">EDATE(Assumptions!$B$5,COLUMN()-3)</f>
        <v>46997</v>
      </c>
      <c r="AB23" s="34" t="n">
        <f aca="false">EDATE(Assumptions!$B$5,COLUMN()-3)</f>
        <v>47027</v>
      </c>
      <c r="AC23" s="34" t="n">
        <f aca="false">EDATE(Assumptions!$B$5,COLUMN()-3)</f>
        <v>47058</v>
      </c>
      <c r="AD23" s="34" t="n">
        <f aca="false">EDATE(Assumptions!$B$5,COLUMN()-3)</f>
        <v>47088</v>
      </c>
      <c r="AE23" s="34" t="n">
        <f aca="false">EDATE(Assumptions!$B$5,COLUMN()-3)</f>
        <v>47119</v>
      </c>
      <c r="AF23" s="34" t="n">
        <f aca="false">EDATE(Assumptions!$B$5,COLUMN()-3)</f>
        <v>47150</v>
      </c>
      <c r="AG23" s="34" t="n">
        <f aca="false">EDATE(Assumptions!$B$5,COLUMN()-3)</f>
        <v>47178</v>
      </c>
      <c r="AH23" s="34" t="n">
        <f aca="false">EDATE(Assumptions!$B$5,COLUMN()-3)</f>
        <v>47209</v>
      </c>
      <c r="AI23" s="34" t="n">
        <f aca="false">EDATE(Assumptions!$B$5,COLUMN()-3)</f>
        <v>47239</v>
      </c>
      <c r="AJ23" s="34" t="n">
        <f aca="false">EDATE(Assumptions!$B$5,COLUMN()-3)</f>
        <v>47270</v>
      </c>
      <c r="AK23" s="34" t="n">
        <f aca="false">EDATE(Assumptions!$B$5,COLUMN()-3)</f>
        <v>47300</v>
      </c>
      <c r="AL23" s="34" t="n">
        <f aca="false">EDATE(Assumptions!$B$5,COLUMN()-3)</f>
        <v>47331</v>
      </c>
    </row>
    <row r="24" customFormat="false" ht="15" hidden="false" customHeight="false" outlineLevel="0" collapsed="false">
      <c r="A24" s="6" t="s">
        <v>489</v>
      </c>
      <c r="C24" s="35" t="n">
        <f aca="false">ROUND(DAY(EOMONTH(C$23,0))*Assumptions!$B$8/7,0)</f>
        <v>26</v>
      </c>
      <c r="D24" s="35" t="n">
        <f aca="false">ROUND(DAY(EOMONTH(D$23,0))*Assumptions!$B$8/7,0)</f>
        <v>27</v>
      </c>
      <c r="E24" s="35" t="n">
        <f aca="false">ROUND(DAY(EOMONTH(E$23,0))*Assumptions!$B$8/7,0)</f>
        <v>26</v>
      </c>
      <c r="F24" s="35" t="n">
        <f aca="false">ROUND(DAY(EOMONTH(F$23,0))*Assumptions!$B$8/7,0)</f>
        <v>27</v>
      </c>
      <c r="G24" s="35" t="n">
        <f aca="false">ROUND(DAY(EOMONTH(G$23,0))*Assumptions!$B$8/7,0)</f>
        <v>27</v>
      </c>
      <c r="H24" s="35" t="n">
        <f aca="false">ROUND(DAY(EOMONTH(H$23,0))*Assumptions!$B$8/7,0)</f>
        <v>24</v>
      </c>
      <c r="I24" s="35" t="n">
        <f aca="false">ROUND(DAY(EOMONTH(I$23,0))*Assumptions!$B$8/7,0)</f>
        <v>27</v>
      </c>
      <c r="J24" s="35" t="n">
        <f aca="false">ROUND(DAY(EOMONTH(J$23,0))*Assumptions!$B$8/7,0)</f>
        <v>26</v>
      </c>
      <c r="K24" s="35" t="n">
        <f aca="false">ROUND(DAY(EOMONTH(K$23,0))*Assumptions!$B$8/7,0)</f>
        <v>27</v>
      </c>
      <c r="L24" s="35" t="n">
        <f aca="false">ROUND(DAY(EOMONTH(L$23,0))*Assumptions!$B$8/7,0)</f>
        <v>26</v>
      </c>
      <c r="M24" s="35" t="n">
        <f aca="false">ROUND(DAY(EOMONTH(M$23,0))*Assumptions!$B$8/7,0)</f>
        <v>27</v>
      </c>
      <c r="N24" s="35" t="n">
        <f aca="false">ROUND(DAY(EOMONTH(N$23,0))*Assumptions!$B$8/7,0)</f>
        <v>27</v>
      </c>
      <c r="O24" s="35" t="n">
        <f aca="false">ROUND(DAY(EOMONTH(O$23,0))*Assumptions!$B$8/7,0)</f>
        <v>26</v>
      </c>
      <c r="P24" s="35" t="n">
        <f aca="false">ROUND(DAY(EOMONTH(P$23,0))*Assumptions!$B$8/7,0)</f>
        <v>27</v>
      </c>
      <c r="Q24" s="35" t="n">
        <f aca="false">ROUND(DAY(EOMONTH(Q$23,0))*Assumptions!$B$8/7,0)</f>
        <v>26</v>
      </c>
      <c r="R24" s="35" t="n">
        <f aca="false">ROUND(DAY(EOMONTH(R$23,0))*Assumptions!$B$8/7,0)</f>
        <v>27</v>
      </c>
      <c r="S24" s="35" t="n">
        <f aca="false">ROUND(DAY(EOMONTH(S$23,0))*Assumptions!$B$8/7,0)</f>
        <v>27</v>
      </c>
      <c r="T24" s="35" t="n">
        <f aca="false">ROUND(DAY(EOMONTH(T$23,0))*Assumptions!$B$8/7,0)</f>
        <v>25</v>
      </c>
      <c r="U24" s="35" t="n">
        <f aca="false">ROUND(DAY(EOMONTH(U$23,0))*Assumptions!$B$8/7,0)</f>
        <v>27</v>
      </c>
      <c r="V24" s="35" t="n">
        <f aca="false">ROUND(DAY(EOMONTH(V$23,0))*Assumptions!$B$8/7,0)</f>
        <v>26</v>
      </c>
      <c r="W24" s="35" t="n">
        <f aca="false">ROUND(DAY(EOMONTH(W$23,0))*Assumptions!$B$8/7,0)</f>
        <v>27</v>
      </c>
      <c r="X24" s="35" t="n">
        <f aca="false">ROUND(DAY(EOMONTH(X$23,0))*Assumptions!$B$8/7,0)</f>
        <v>26</v>
      </c>
      <c r="Y24" s="35" t="n">
        <f aca="false">ROUND(DAY(EOMONTH(Y$23,0))*Assumptions!$B$8/7,0)</f>
        <v>27</v>
      </c>
      <c r="Z24" s="35" t="n">
        <f aca="false">ROUND(DAY(EOMONTH(Z$23,0))*Assumptions!$B$8/7,0)</f>
        <v>27</v>
      </c>
      <c r="AA24" s="35" t="n">
        <f aca="false">ROUND(DAY(EOMONTH(AA$23,0))*Assumptions!$B$8/7,0)</f>
        <v>26</v>
      </c>
      <c r="AB24" s="35" t="n">
        <f aca="false">ROUND(DAY(EOMONTH(AB$23,0))*Assumptions!$B$8/7,0)</f>
        <v>27</v>
      </c>
      <c r="AC24" s="35" t="n">
        <f aca="false">ROUND(DAY(EOMONTH(AC$23,0))*Assumptions!$B$8/7,0)</f>
        <v>26</v>
      </c>
      <c r="AD24" s="35" t="n">
        <f aca="false">ROUND(DAY(EOMONTH(AD$23,0))*Assumptions!$B$8/7,0)</f>
        <v>27</v>
      </c>
      <c r="AE24" s="35" t="n">
        <f aca="false">ROUND(DAY(EOMONTH(AE$23,0))*Assumptions!$B$8/7,0)</f>
        <v>27</v>
      </c>
      <c r="AF24" s="35" t="n">
        <f aca="false">ROUND(DAY(EOMONTH(AF$23,0))*Assumptions!$B$8/7,0)</f>
        <v>24</v>
      </c>
      <c r="AG24" s="35" t="n">
        <f aca="false">ROUND(DAY(EOMONTH(AG$23,0))*Assumptions!$B$8/7,0)</f>
        <v>27</v>
      </c>
      <c r="AH24" s="35" t="n">
        <f aca="false">ROUND(DAY(EOMONTH(AH$23,0))*Assumptions!$B$8/7,0)</f>
        <v>26</v>
      </c>
      <c r="AI24" s="35" t="n">
        <f aca="false">ROUND(DAY(EOMONTH(AI$23,0))*Assumptions!$B$8/7,0)</f>
        <v>27</v>
      </c>
      <c r="AJ24" s="35" t="n">
        <f aca="false">ROUND(DAY(EOMONTH(AJ$23,0))*Assumptions!$B$8/7,0)</f>
        <v>26</v>
      </c>
      <c r="AK24" s="35" t="n">
        <f aca="false">ROUND(DAY(EOMONTH(AK$23,0))*Assumptions!$B$8/7,0)</f>
        <v>27</v>
      </c>
      <c r="AL24" s="35" t="n">
        <f aca="false">ROUND(DAY(EOMONTH(AL$23,0))*Assumptions!$B$8/7,0)</f>
        <v>27</v>
      </c>
    </row>
    <row r="25" customFormat="false" ht="15" hidden="false" customHeight="false" outlineLevel="0" collapsed="false">
      <c r="A25" s="6" t="s">
        <v>490</v>
      </c>
      <c r="C25" s="35" t="n">
        <f aca="false">Assumptions!$B$6*Assumptions!$B$9*C$24</f>
        <v>2223</v>
      </c>
      <c r="D25" s="35" t="n">
        <f aca="false">Assumptions!$B$6*Assumptions!$B$9*D$24</f>
        <v>2308.5</v>
      </c>
      <c r="E25" s="35" t="n">
        <f aca="false">Assumptions!$B$6*Assumptions!$B$9*E$24</f>
        <v>2223</v>
      </c>
      <c r="F25" s="35" t="n">
        <f aca="false">Assumptions!$B$6*Assumptions!$B$9*F$24</f>
        <v>2308.5</v>
      </c>
      <c r="G25" s="35" t="n">
        <f aca="false">Assumptions!$B$6*Assumptions!$B$9*G$24</f>
        <v>2308.5</v>
      </c>
      <c r="H25" s="35" t="n">
        <f aca="false">Assumptions!$B$6*Assumptions!$B$9*H$24</f>
        <v>2052</v>
      </c>
      <c r="I25" s="35" t="n">
        <f aca="false">Assumptions!$B$6*Assumptions!$B$9*I$24</f>
        <v>2308.5</v>
      </c>
      <c r="J25" s="35" t="n">
        <f aca="false">Assumptions!$B$6*Assumptions!$B$9*J$24</f>
        <v>2223</v>
      </c>
      <c r="K25" s="35" t="n">
        <f aca="false">Assumptions!$B$6*Assumptions!$B$9*K$24</f>
        <v>2308.5</v>
      </c>
      <c r="L25" s="35" t="n">
        <f aca="false">Assumptions!$B$6*Assumptions!$B$9*L$24</f>
        <v>2223</v>
      </c>
      <c r="M25" s="35" t="n">
        <f aca="false">Assumptions!$B$6*Assumptions!$B$9*M$24</f>
        <v>2308.5</v>
      </c>
      <c r="N25" s="35" t="n">
        <f aca="false">Assumptions!$B$6*Assumptions!$B$9*N$24</f>
        <v>2308.5</v>
      </c>
      <c r="O25" s="35" t="n">
        <f aca="false">Assumptions!$B$6*Assumptions!$B$9*O$24</f>
        <v>2223</v>
      </c>
      <c r="P25" s="35" t="n">
        <f aca="false">Assumptions!$B$6*Assumptions!$B$9*P$24</f>
        <v>2308.5</v>
      </c>
      <c r="Q25" s="35" t="n">
        <f aca="false">Assumptions!$B$6*Assumptions!$B$9*Q$24</f>
        <v>2223</v>
      </c>
      <c r="R25" s="35" t="n">
        <f aca="false">Assumptions!$B$6*Assumptions!$B$9*R$24</f>
        <v>2308.5</v>
      </c>
      <c r="S25" s="35" t="n">
        <f aca="false">Assumptions!$B$6*Assumptions!$B$9*S$24</f>
        <v>2308.5</v>
      </c>
      <c r="T25" s="35" t="n">
        <f aca="false">Assumptions!$B$6*Assumptions!$B$9*T$24</f>
        <v>2137.5</v>
      </c>
      <c r="U25" s="35" t="n">
        <f aca="false">Assumptions!$B$6*Assumptions!$B$9*U$24</f>
        <v>2308.5</v>
      </c>
      <c r="V25" s="35" t="n">
        <f aca="false">Assumptions!$B$6*Assumptions!$B$9*V$24</f>
        <v>2223</v>
      </c>
      <c r="W25" s="35" t="n">
        <f aca="false">Assumptions!$B$6*Assumptions!$B$9*W$24</f>
        <v>2308.5</v>
      </c>
      <c r="X25" s="35" t="n">
        <f aca="false">Assumptions!$B$6*Assumptions!$B$9*X$24</f>
        <v>2223</v>
      </c>
      <c r="Y25" s="35" t="n">
        <f aca="false">Assumptions!$B$6*Assumptions!$B$9*Y$24</f>
        <v>2308.5</v>
      </c>
      <c r="Z25" s="35" t="n">
        <f aca="false">Assumptions!$B$6*Assumptions!$B$9*Z$24</f>
        <v>2308.5</v>
      </c>
      <c r="AA25" s="35" t="n">
        <f aca="false">Assumptions!$B$6*Assumptions!$B$9*AA$24</f>
        <v>2223</v>
      </c>
      <c r="AB25" s="35" t="n">
        <f aca="false">Assumptions!$B$6*Assumptions!$B$9*AB$24</f>
        <v>2308.5</v>
      </c>
      <c r="AC25" s="35" t="n">
        <f aca="false">Assumptions!$B$6*Assumptions!$B$9*AC$24</f>
        <v>2223</v>
      </c>
      <c r="AD25" s="35" t="n">
        <f aca="false">Assumptions!$B$6*Assumptions!$B$9*AD$24</f>
        <v>2308.5</v>
      </c>
      <c r="AE25" s="35" t="n">
        <f aca="false">Assumptions!$B$6*Assumptions!$B$9*AE$24</f>
        <v>2308.5</v>
      </c>
      <c r="AF25" s="35" t="n">
        <f aca="false">Assumptions!$B$6*Assumptions!$B$9*AF$24</f>
        <v>2052</v>
      </c>
      <c r="AG25" s="35" t="n">
        <f aca="false">Assumptions!$B$6*Assumptions!$B$9*AG$24</f>
        <v>2308.5</v>
      </c>
      <c r="AH25" s="35" t="n">
        <f aca="false">Assumptions!$B$6*Assumptions!$B$9*AH$24</f>
        <v>2223</v>
      </c>
      <c r="AI25" s="35" t="n">
        <f aca="false">Assumptions!$B$6*Assumptions!$B$9*AI$24</f>
        <v>2308.5</v>
      </c>
      <c r="AJ25" s="35" t="n">
        <f aca="false">Assumptions!$B$6*Assumptions!$B$9*AJ$24</f>
        <v>2223</v>
      </c>
      <c r="AK25" s="35" t="n">
        <f aca="false">Assumptions!$B$6*Assumptions!$B$9*AK$24</f>
        <v>2308.5</v>
      </c>
      <c r="AL25" s="35" t="n">
        <f aca="false">Assumptions!$B$6*Assumptions!$B$9*AL$24</f>
        <v>2308.5</v>
      </c>
    </row>
    <row r="26" customFormat="false" ht="15" hidden="false" customHeight="false" outlineLevel="0" collapsed="false">
      <c r="A26" s="20" t="s">
        <v>491</v>
      </c>
      <c r="C26" s="15" t="n">
        <v>0.04</v>
      </c>
      <c r="D26" s="15" t="n">
        <v>0.046</v>
      </c>
      <c r="E26" s="15" t="n">
        <v>0.052</v>
      </c>
      <c r="F26" s="15" t="n">
        <v>0.058</v>
      </c>
      <c r="G26" s="15" t="n">
        <v>0.064</v>
      </c>
      <c r="H26" s="15" t="n">
        <v>0.07</v>
      </c>
      <c r="I26" s="15" t="n">
        <v>0.076</v>
      </c>
      <c r="J26" s="15" t="n">
        <v>0.082</v>
      </c>
      <c r="K26" s="15" t="n">
        <v>0.088</v>
      </c>
      <c r="L26" s="15" t="n">
        <v>0.094</v>
      </c>
      <c r="M26" s="15" t="n">
        <v>0.1</v>
      </c>
      <c r="N26" s="15" t="n">
        <v>0.106</v>
      </c>
      <c r="O26" s="15" t="n">
        <v>0.112</v>
      </c>
      <c r="P26" s="15" t="n">
        <v>0.118</v>
      </c>
      <c r="Q26" s="15" t="n">
        <v>0.124</v>
      </c>
      <c r="R26" s="15" t="n">
        <v>0.13</v>
      </c>
      <c r="S26" s="15" t="n">
        <v>0.136</v>
      </c>
      <c r="T26" s="15" t="n">
        <v>0.142</v>
      </c>
      <c r="U26" s="15" t="n">
        <v>0.148</v>
      </c>
      <c r="V26" s="15" t="n">
        <v>0.154</v>
      </c>
      <c r="W26" s="15" t="n">
        <v>0.16</v>
      </c>
      <c r="X26" s="15" t="n">
        <v>0.166</v>
      </c>
      <c r="Y26" s="15" t="n">
        <v>0.172</v>
      </c>
      <c r="Z26" s="15" t="n">
        <v>0.178</v>
      </c>
      <c r="AA26" s="15" t="n">
        <v>0.184</v>
      </c>
      <c r="AB26" s="15" t="n">
        <v>0.19</v>
      </c>
      <c r="AC26" s="15" t="n">
        <v>0.196</v>
      </c>
      <c r="AD26" s="15" t="n">
        <v>0.202</v>
      </c>
      <c r="AE26" s="15" t="n">
        <v>0.208</v>
      </c>
      <c r="AF26" s="15" t="n">
        <v>0.214</v>
      </c>
      <c r="AG26" s="15" t="n">
        <v>0.22</v>
      </c>
      <c r="AH26" s="15" t="n">
        <v>0.226</v>
      </c>
      <c r="AI26" s="15" t="n">
        <v>0.232</v>
      </c>
      <c r="AJ26" s="15" t="n">
        <v>0.238</v>
      </c>
      <c r="AK26" s="15" t="n">
        <v>0.244</v>
      </c>
      <c r="AL26" s="15" t="n">
        <v>0.25</v>
      </c>
    </row>
    <row r="27" customFormat="false" ht="15" hidden="false" customHeight="false" outlineLevel="0" collapsed="false">
      <c r="A27" s="6" t="s">
        <v>492</v>
      </c>
      <c r="C27" s="35" t="n">
        <f aca="false">C$25*C$26</f>
        <v>88.92</v>
      </c>
      <c r="D27" s="35" t="n">
        <f aca="false">D$25*D$26</f>
        <v>106.191</v>
      </c>
      <c r="E27" s="35" t="n">
        <f aca="false">E$25*E$26</f>
        <v>115.596</v>
      </c>
      <c r="F27" s="35" t="n">
        <f aca="false">F$25*F$26</f>
        <v>133.893</v>
      </c>
      <c r="G27" s="35" t="n">
        <f aca="false">G$25*G$26</f>
        <v>147.744</v>
      </c>
      <c r="H27" s="35" t="n">
        <f aca="false">H$25*H$26</f>
        <v>143.64</v>
      </c>
      <c r="I27" s="35" t="n">
        <f aca="false">I$25*I$26</f>
        <v>175.446</v>
      </c>
      <c r="J27" s="35" t="n">
        <f aca="false">J$25*J$26</f>
        <v>182.286</v>
      </c>
      <c r="K27" s="35" t="n">
        <f aca="false">K$25*K$26</f>
        <v>203.148</v>
      </c>
      <c r="L27" s="35" t="n">
        <f aca="false">L$25*L$26</f>
        <v>208.962</v>
      </c>
      <c r="M27" s="35" t="n">
        <f aca="false">M$25*M$26</f>
        <v>230.85</v>
      </c>
      <c r="N27" s="35" t="n">
        <f aca="false">N$25*N$26</f>
        <v>244.701</v>
      </c>
      <c r="O27" s="35" t="n">
        <f aca="false">O$25*O$26</f>
        <v>248.976</v>
      </c>
      <c r="P27" s="35" t="n">
        <f aca="false">P$25*P$26</f>
        <v>272.403</v>
      </c>
      <c r="Q27" s="35" t="n">
        <f aca="false">Q$25*Q$26</f>
        <v>275.652</v>
      </c>
      <c r="R27" s="35" t="n">
        <f aca="false">R$25*R$26</f>
        <v>300.105</v>
      </c>
      <c r="S27" s="35" t="n">
        <f aca="false">S$25*S$26</f>
        <v>313.956</v>
      </c>
      <c r="T27" s="35" t="n">
        <f aca="false">T$25*T$26</f>
        <v>303.525</v>
      </c>
      <c r="U27" s="35" t="n">
        <f aca="false">U$25*U$26</f>
        <v>341.658</v>
      </c>
      <c r="V27" s="35" t="n">
        <f aca="false">V$25*V$26</f>
        <v>342.342</v>
      </c>
      <c r="W27" s="35" t="n">
        <f aca="false">W$25*W$26</f>
        <v>369.36</v>
      </c>
      <c r="X27" s="35" t="n">
        <f aca="false">X$25*X$26</f>
        <v>369.018</v>
      </c>
      <c r="Y27" s="35" t="n">
        <f aca="false">Y$25*Y$26</f>
        <v>397.062</v>
      </c>
      <c r="Z27" s="35" t="n">
        <f aca="false">Z$25*Z$26</f>
        <v>410.913</v>
      </c>
      <c r="AA27" s="35" t="n">
        <f aca="false">AA$25*AA$26</f>
        <v>409.032</v>
      </c>
      <c r="AB27" s="35" t="n">
        <f aca="false">AB$25*AB$26</f>
        <v>438.615</v>
      </c>
      <c r="AC27" s="35" t="n">
        <f aca="false">AC$25*AC$26</f>
        <v>435.708</v>
      </c>
      <c r="AD27" s="35" t="n">
        <f aca="false">AD$25*AD$26</f>
        <v>466.317</v>
      </c>
      <c r="AE27" s="35" t="n">
        <f aca="false">AE$25*AE$26</f>
        <v>480.168</v>
      </c>
      <c r="AF27" s="35" t="n">
        <f aca="false">AF$25*AF$26</f>
        <v>439.128</v>
      </c>
      <c r="AG27" s="35" t="n">
        <f aca="false">AG$25*AG$26</f>
        <v>507.87</v>
      </c>
      <c r="AH27" s="35" t="n">
        <f aca="false">AH$25*AH$26</f>
        <v>502.398</v>
      </c>
      <c r="AI27" s="35" t="n">
        <f aca="false">AI$25*AI$26</f>
        <v>535.572</v>
      </c>
      <c r="AJ27" s="35" t="n">
        <f aca="false">AJ$25*AJ$26</f>
        <v>529.074</v>
      </c>
      <c r="AK27" s="35" t="n">
        <f aca="false">AK$25*AK$26</f>
        <v>563.274</v>
      </c>
      <c r="AL27" s="35" t="n">
        <f aca="false">AL$25*AL$26</f>
        <v>577.125</v>
      </c>
    </row>
    <row r="29" customFormat="false" ht="15" hidden="false" customHeight="false" outlineLevel="0" collapsed="false">
      <c r="A29" s="36" t="s">
        <v>472</v>
      </c>
    </row>
    <row r="30" customFormat="false" ht="15" hidden="false" customHeight="false" outlineLevel="0" collapsed="false">
      <c r="A30" s="6" t="s">
        <v>493</v>
      </c>
      <c r="C30" s="14" t="n">
        <f aca="false">C$27*$N$5</f>
        <v>44.0154</v>
      </c>
      <c r="D30" s="14" t="n">
        <f aca="false">D$27*$N$5</f>
        <v>52.564545</v>
      </c>
      <c r="E30" s="14" t="n">
        <f aca="false">E$27*$N$5</f>
        <v>57.22002</v>
      </c>
      <c r="F30" s="14" t="n">
        <f aca="false">F$27*$N$5</f>
        <v>66.277035</v>
      </c>
      <c r="G30" s="14" t="n">
        <f aca="false">G$27*$N$5</f>
        <v>73.13328</v>
      </c>
      <c r="H30" s="14" t="n">
        <f aca="false">H$27*$N$5</f>
        <v>71.1018</v>
      </c>
      <c r="I30" s="14" t="n">
        <f aca="false">I$27*$N$5</f>
        <v>86.84577</v>
      </c>
      <c r="J30" s="14" t="n">
        <f aca="false">J$27*$N$5</f>
        <v>90.23157</v>
      </c>
      <c r="K30" s="14" t="n">
        <f aca="false">K$27*$N$5</f>
        <v>100.55826</v>
      </c>
      <c r="L30" s="14" t="n">
        <f aca="false">L$27*$N$5</f>
        <v>103.43619</v>
      </c>
      <c r="M30" s="14" t="n">
        <f aca="false">M$27*$N$5</f>
        <v>114.27075</v>
      </c>
      <c r="N30" s="14" t="n">
        <f aca="false">N$27*$N$5</f>
        <v>121.126995</v>
      </c>
      <c r="O30" s="14" t="n">
        <f aca="false">O$27*$N$5</f>
        <v>123.24312</v>
      </c>
      <c r="P30" s="14" t="n">
        <f aca="false">P$27*$N$5</f>
        <v>134.839485</v>
      </c>
      <c r="Q30" s="14" t="n">
        <f aca="false">Q$27*$N$5</f>
        <v>136.44774</v>
      </c>
      <c r="R30" s="14" t="n">
        <f aca="false">R$27*$N$5</f>
        <v>148.551975</v>
      </c>
      <c r="S30" s="14" t="n">
        <f aca="false">S$27*$N$5</f>
        <v>155.40822</v>
      </c>
      <c r="T30" s="14" t="n">
        <f aca="false">T$27*$N$5</f>
        <v>150.244875</v>
      </c>
      <c r="U30" s="14" t="n">
        <f aca="false">U$27*$N$5</f>
        <v>169.12071</v>
      </c>
      <c r="V30" s="14" t="n">
        <f aca="false">V$27*$N$5</f>
        <v>169.45929</v>
      </c>
      <c r="W30" s="14" t="n">
        <f aca="false">W$27*$N$5</f>
        <v>182.8332</v>
      </c>
      <c r="X30" s="14" t="n">
        <f aca="false">X$27*$N$5</f>
        <v>182.66391</v>
      </c>
      <c r="Y30" s="14" t="n">
        <f aca="false">Y$27*$N$5</f>
        <v>196.54569</v>
      </c>
      <c r="Z30" s="14" t="n">
        <f aca="false">Z$27*$N$5</f>
        <v>203.401935</v>
      </c>
      <c r="AA30" s="14" t="n">
        <f aca="false">AA$27*$N$5</f>
        <v>202.47084</v>
      </c>
      <c r="AB30" s="14" t="n">
        <f aca="false">AB$27*$N$5</f>
        <v>217.114425</v>
      </c>
      <c r="AC30" s="14" t="n">
        <f aca="false">AC$27*$N$5</f>
        <v>215.67546</v>
      </c>
      <c r="AD30" s="14" t="n">
        <f aca="false">AD$27*$N$5</f>
        <v>230.826915</v>
      </c>
      <c r="AE30" s="14" t="n">
        <f aca="false">AE$27*$N$5</f>
        <v>237.68316</v>
      </c>
      <c r="AF30" s="14" t="n">
        <f aca="false">AF$27*$N$5</f>
        <v>217.36836</v>
      </c>
      <c r="AG30" s="14" t="n">
        <f aca="false">AG$27*$N$5</f>
        <v>251.39565</v>
      </c>
      <c r="AH30" s="14" t="n">
        <f aca="false">AH$27*$N$5</f>
        <v>248.68701</v>
      </c>
      <c r="AI30" s="14" t="n">
        <f aca="false">AI$27*$N$5</f>
        <v>265.10814</v>
      </c>
      <c r="AJ30" s="14" t="n">
        <f aca="false">AJ$27*$N$5</f>
        <v>261.89163</v>
      </c>
      <c r="AK30" s="14" t="n">
        <f aca="false">AK$27*$N$5</f>
        <v>278.82063</v>
      </c>
      <c r="AL30" s="14" t="n">
        <f aca="false">AL$27*$N$5</f>
        <v>285.676875</v>
      </c>
    </row>
    <row r="31" customFormat="false" ht="15" hidden="false" customHeight="false" outlineLevel="0" collapsed="false">
      <c r="A31" s="6" t="s">
        <v>494</v>
      </c>
      <c r="C31" s="14" t="n">
        <f aca="false">IF($E$5=0,0,C30*60/$E$5)</f>
        <v>87.3032727272727</v>
      </c>
      <c r="D31" s="14" t="n">
        <f aca="false">IF($E$5=0,0,D30*60/$E$5)</f>
        <v>104.260254545455</v>
      </c>
      <c r="E31" s="14" t="n">
        <f aca="false">IF($E$5=0,0,E30*60/$E$5)</f>
        <v>113.494254545455</v>
      </c>
      <c r="F31" s="14" t="n">
        <f aca="false">IF($E$5=0,0,F30*60/$E$5)</f>
        <v>131.458581818182</v>
      </c>
      <c r="G31" s="14" t="n">
        <f aca="false">IF($E$5=0,0,G30*60/$E$5)</f>
        <v>145.057745454545</v>
      </c>
      <c r="H31" s="14" t="n">
        <f aca="false">IF($E$5=0,0,H30*60/$E$5)</f>
        <v>141.028363636364</v>
      </c>
      <c r="I31" s="14" t="n">
        <f aca="false">IF($E$5=0,0,I30*60/$E$5)</f>
        <v>172.256072727273</v>
      </c>
      <c r="J31" s="14" t="n">
        <f aca="false">IF($E$5=0,0,J30*60/$E$5)</f>
        <v>178.971709090909</v>
      </c>
      <c r="K31" s="14" t="n">
        <f aca="false">IF($E$5=0,0,K30*60/$E$5)</f>
        <v>199.4544</v>
      </c>
      <c r="L31" s="14" t="n">
        <f aca="false">IF($E$5=0,0,L30*60/$E$5)</f>
        <v>205.162690909091</v>
      </c>
      <c r="M31" s="14" t="n">
        <f aca="false">IF($E$5=0,0,M30*60/$E$5)</f>
        <v>226.652727272727</v>
      </c>
      <c r="N31" s="14" t="n">
        <f aca="false">IF($E$5=0,0,N30*60/$E$5)</f>
        <v>240.251890909091</v>
      </c>
      <c r="O31" s="14" t="n">
        <f aca="false">IF($E$5=0,0,O30*60/$E$5)</f>
        <v>244.449163636364</v>
      </c>
      <c r="P31" s="14" t="n">
        <f aca="false">IF($E$5=0,0,P30*60/$E$5)</f>
        <v>267.450218181818</v>
      </c>
      <c r="Q31" s="14" t="n">
        <f aca="false">IF($E$5=0,0,Q30*60/$E$5)</f>
        <v>270.640145454545</v>
      </c>
      <c r="R31" s="14" t="n">
        <f aca="false">IF($E$5=0,0,R30*60/$E$5)</f>
        <v>294.648545454545</v>
      </c>
      <c r="S31" s="14" t="n">
        <f aca="false">IF($E$5=0,0,S30*60/$E$5)</f>
        <v>308.247709090909</v>
      </c>
      <c r="T31" s="14" t="n">
        <f aca="false">IF($E$5=0,0,T30*60/$E$5)</f>
        <v>298.006363636364</v>
      </c>
      <c r="U31" s="14" t="n">
        <f aca="false">IF($E$5=0,0,U30*60/$E$5)</f>
        <v>335.446036363636</v>
      </c>
      <c r="V31" s="14" t="n">
        <f aca="false">IF($E$5=0,0,V30*60/$E$5)</f>
        <v>336.1176</v>
      </c>
      <c r="W31" s="14" t="n">
        <f aca="false">IF($E$5=0,0,W30*60/$E$5)</f>
        <v>362.644363636364</v>
      </c>
      <c r="X31" s="14" t="n">
        <f aca="false">IF($E$5=0,0,X30*60/$E$5)</f>
        <v>362.308581818182</v>
      </c>
      <c r="Y31" s="14" t="n">
        <f aca="false">IF($E$5=0,0,Y30*60/$E$5)</f>
        <v>389.842690909091</v>
      </c>
      <c r="Z31" s="14" t="n">
        <f aca="false">IF($E$5=0,0,Z30*60/$E$5)</f>
        <v>403.441854545455</v>
      </c>
      <c r="AA31" s="14" t="n">
        <f aca="false">IF($E$5=0,0,AA30*60/$E$5)</f>
        <v>401.595054545455</v>
      </c>
      <c r="AB31" s="14" t="n">
        <f aca="false">IF($E$5=0,0,AB30*60/$E$5)</f>
        <v>430.640181818182</v>
      </c>
      <c r="AC31" s="14" t="n">
        <f aca="false">IF($E$5=0,0,AC30*60/$E$5)</f>
        <v>427.786036363636</v>
      </c>
      <c r="AD31" s="14" t="n">
        <f aca="false">IF($E$5=0,0,AD30*60/$E$5)</f>
        <v>457.838509090909</v>
      </c>
      <c r="AE31" s="14" t="n">
        <f aca="false">IF($E$5=0,0,AE30*60/$E$5)</f>
        <v>471.437672727273</v>
      </c>
      <c r="AF31" s="14" t="n">
        <f aca="false">IF($E$5=0,0,AF30*60/$E$5)</f>
        <v>431.143854545455</v>
      </c>
      <c r="AG31" s="14" t="n">
        <f aca="false">IF($E$5=0,0,AG30*60/$E$5)</f>
        <v>498.636</v>
      </c>
      <c r="AH31" s="14" t="n">
        <f aca="false">IF($E$5=0,0,AH30*60/$E$5)</f>
        <v>493.263490909091</v>
      </c>
      <c r="AI31" s="14" t="n">
        <f aca="false">IF($E$5=0,0,AI30*60/$E$5)</f>
        <v>525.834327272727</v>
      </c>
      <c r="AJ31" s="14" t="n">
        <f aca="false">IF($E$5=0,0,AJ30*60/$E$5)</f>
        <v>519.454472727273</v>
      </c>
      <c r="AK31" s="14" t="n">
        <f aca="false">IF($E$5=0,0,AK30*60/$E$5)</f>
        <v>553.032654545455</v>
      </c>
      <c r="AL31" s="14" t="n">
        <f aca="false">IF($E$5=0,0,AL30*60/$E$5)</f>
        <v>566.631818181818</v>
      </c>
    </row>
    <row r="32" customFormat="false" ht="15" hidden="false" customHeight="false" outlineLevel="0" collapsed="false">
      <c r="A32" s="6" t="s">
        <v>495</v>
      </c>
      <c r="C32" s="22" t="n">
        <f aca="false">C31*$H$5</f>
        <v>6995.90225454546</v>
      </c>
      <c r="D32" s="22" t="n">
        <f aca="false">D31*$H$5</f>
        <v>8354.72173090909</v>
      </c>
      <c r="E32" s="22" t="n">
        <f aca="false">E31*$H$5</f>
        <v>9094.67293090909</v>
      </c>
      <c r="F32" s="22" t="n">
        <f aca="false">F31*$H$5</f>
        <v>10534.2143563636</v>
      </c>
      <c r="G32" s="22" t="n">
        <f aca="false">G31*$H$5</f>
        <v>11623.9606690909</v>
      </c>
      <c r="H32" s="22" t="n">
        <f aca="false">H31*$H$5</f>
        <v>11301.0728727273</v>
      </c>
      <c r="I32" s="22" t="n">
        <f aca="false">I31*$H$5</f>
        <v>13803.4532945455</v>
      </c>
      <c r="J32" s="22" t="n">
        <f aca="false">J31*$H$5</f>
        <v>14341.5996218182</v>
      </c>
      <c r="K32" s="22" t="n">
        <f aca="false">K31*$H$5</f>
        <v>15982.94592</v>
      </c>
      <c r="L32" s="22" t="n">
        <f aca="false">L31*$H$5</f>
        <v>16440.3702981818</v>
      </c>
      <c r="M32" s="22" t="n">
        <f aca="false">M31*$H$5</f>
        <v>18162.4385454545</v>
      </c>
      <c r="N32" s="22" t="n">
        <f aca="false">N31*$H$5</f>
        <v>19252.1848581818</v>
      </c>
      <c r="O32" s="22" t="n">
        <f aca="false">O31*$H$5</f>
        <v>19588.5263127273</v>
      </c>
      <c r="P32" s="22" t="n">
        <f aca="false">P31*$H$5</f>
        <v>21431.6774836364</v>
      </c>
      <c r="Q32" s="22" t="n">
        <f aca="false">Q31*$H$5</f>
        <v>21687.2969890909</v>
      </c>
      <c r="R32" s="22" t="n">
        <f aca="false">R31*$H$5</f>
        <v>23611.1701090909</v>
      </c>
      <c r="S32" s="22" t="n">
        <f aca="false">S31*$H$5</f>
        <v>24700.9164218182</v>
      </c>
      <c r="T32" s="22" t="n">
        <f aca="false">T31*$H$5</f>
        <v>23880.2432727273</v>
      </c>
      <c r="U32" s="22" t="n">
        <f aca="false">U31*$H$5</f>
        <v>26880.4090472727</v>
      </c>
      <c r="V32" s="22" t="n">
        <f aca="false">V31*$H$5</f>
        <v>26934.22368</v>
      </c>
      <c r="W32" s="22" t="n">
        <f aca="false">W31*$H$5</f>
        <v>29059.9016727273</v>
      </c>
      <c r="X32" s="22" t="n">
        <f aca="false">X31*$H$5</f>
        <v>29032.9943563636</v>
      </c>
      <c r="Y32" s="22" t="n">
        <f aca="false">Y31*$H$5</f>
        <v>31239.3942981818</v>
      </c>
      <c r="Z32" s="22" t="n">
        <f aca="false">Z31*$H$5</f>
        <v>32329.1406109091</v>
      </c>
      <c r="AA32" s="22" t="n">
        <f aca="false">AA31*$H$5</f>
        <v>32181.1503709091</v>
      </c>
      <c r="AB32" s="22" t="n">
        <f aca="false">AB31*$H$5</f>
        <v>34508.6332363636</v>
      </c>
      <c r="AC32" s="22" t="n">
        <f aca="false">AC31*$H$5</f>
        <v>34279.9210472727</v>
      </c>
      <c r="AD32" s="22" t="n">
        <f aca="false">AD31*$H$5</f>
        <v>36688.1258618182</v>
      </c>
      <c r="AE32" s="22" t="n">
        <f aca="false">AE31*$H$5</f>
        <v>37777.8721745455</v>
      </c>
      <c r="AF32" s="22" t="n">
        <f aca="false">AF31*$H$5</f>
        <v>34548.9942109091</v>
      </c>
      <c r="AG32" s="22" t="n">
        <f aca="false">AG31*$H$5</f>
        <v>39957.3648</v>
      </c>
      <c r="AH32" s="22" t="n">
        <f aca="false">AH31*$H$5</f>
        <v>39526.8477381818</v>
      </c>
      <c r="AI32" s="22" t="n">
        <f aca="false">AI31*$H$5</f>
        <v>42136.8574254545</v>
      </c>
      <c r="AJ32" s="22" t="n">
        <f aca="false">AJ31*$H$5</f>
        <v>41625.6184145455</v>
      </c>
      <c r="AK32" s="22" t="n">
        <f aca="false">AK31*$H$5</f>
        <v>44316.3500509091</v>
      </c>
      <c r="AL32" s="22" t="n">
        <f aca="false">AL31*$H$5</f>
        <v>45406.0963636364</v>
      </c>
    </row>
    <row r="33" customFormat="false" ht="15" hidden="false" customHeight="false" outlineLevel="0" collapsed="false">
      <c r="A33" s="6" t="s">
        <v>496</v>
      </c>
      <c r="C33" s="22" t="n">
        <f aca="false">C31*$K$5</f>
        <v>184.526379818182</v>
      </c>
      <c r="D33" s="22" t="n">
        <f aca="false">D31*$K$5</f>
        <v>220.367080513636</v>
      </c>
      <c r="E33" s="22" t="n">
        <f aca="false">E31*$K$5</f>
        <v>239.884293763636</v>
      </c>
      <c r="F33" s="22" t="n">
        <f aca="false">F31*$K$5</f>
        <v>277.854144995455</v>
      </c>
      <c r="G33" s="22" t="n">
        <f aca="false">G31*$K$5</f>
        <v>306.597677236364</v>
      </c>
      <c r="H33" s="22" t="n">
        <f aca="false">H31*$K$5</f>
        <v>298.081075090909</v>
      </c>
      <c r="I33" s="22" t="n">
        <f aca="false">I31*$K$5</f>
        <v>364.084741718182</v>
      </c>
      <c r="J33" s="22" t="n">
        <f aca="false">J31*$K$5</f>
        <v>378.279078627273</v>
      </c>
      <c r="K33" s="22" t="n">
        <f aca="false">K31*$K$5</f>
        <v>421.5718062</v>
      </c>
      <c r="L33" s="22" t="n">
        <f aca="false">L31*$K$5</f>
        <v>433.636992572727</v>
      </c>
      <c r="M33" s="22" t="n">
        <f aca="false">M31*$K$5</f>
        <v>479.058870681818</v>
      </c>
      <c r="N33" s="22" t="n">
        <f aca="false">N31*$K$5</f>
        <v>507.802402922727</v>
      </c>
      <c r="O33" s="22" t="n">
        <f aca="false">O31*$K$5</f>
        <v>516.673863490909</v>
      </c>
      <c r="P33" s="22" t="n">
        <f aca="false">P31*$K$5</f>
        <v>565.289467404545</v>
      </c>
      <c r="Q33" s="22" t="n">
        <f aca="false">Q31*$K$5</f>
        <v>572.031777436364</v>
      </c>
      <c r="R33" s="22" t="n">
        <f aca="false">R31*$K$5</f>
        <v>622.776531886364</v>
      </c>
      <c r="S33" s="22" t="n">
        <f aca="false">S31*$K$5</f>
        <v>651.520064127273</v>
      </c>
      <c r="T33" s="22" t="n">
        <f aca="false">T31*$K$5</f>
        <v>629.873700340909</v>
      </c>
      <c r="U33" s="22" t="n">
        <f aca="false">U31*$K$5</f>
        <v>709.007128609091</v>
      </c>
      <c r="V33" s="22" t="n">
        <f aca="false">V31*$K$5</f>
        <v>710.4265623</v>
      </c>
      <c r="W33" s="22" t="n">
        <f aca="false">W31*$K$5</f>
        <v>766.494193090909</v>
      </c>
      <c r="X33" s="22" t="n">
        <f aca="false">X31*$K$5</f>
        <v>765.784476245455</v>
      </c>
      <c r="Y33" s="22" t="n">
        <f aca="false">Y31*$K$5</f>
        <v>823.981257572727</v>
      </c>
      <c r="Z33" s="22" t="n">
        <f aca="false">Z31*$K$5</f>
        <v>852.724789813636</v>
      </c>
      <c r="AA33" s="22" t="n">
        <f aca="false">AA31*$K$5</f>
        <v>848.821347163636</v>
      </c>
      <c r="AB33" s="22" t="n">
        <f aca="false">AB31*$K$5</f>
        <v>910.211854295455</v>
      </c>
      <c r="AC33" s="22" t="n">
        <f aca="false">AC31*$K$5</f>
        <v>904.179261109091</v>
      </c>
      <c r="AD33" s="22" t="n">
        <f aca="false">AD31*$K$5</f>
        <v>967.698918777273</v>
      </c>
      <c r="AE33" s="22" t="n">
        <f aca="false">AE31*$K$5</f>
        <v>996.442451018182</v>
      </c>
      <c r="AF33" s="22" t="n">
        <f aca="false">AF31*$K$5</f>
        <v>911.276429563636</v>
      </c>
      <c r="AG33" s="22" t="n">
        <f aca="false">AG31*$K$5</f>
        <v>1053.9295155</v>
      </c>
      <c r="AH33" s="22" t="n">
        <f aca="false">AH31*$K$5</f>
        <v>1042.57404597273</v>
      </c>
      <c r="AI33" s="22" t="n">
        <f aca="false">AI31*$K$5</f>
        <v>1111.41657998182</v>
      </c>
      <c r="AJ33" s="22" t="n">
        <f aca="false">AJ31*$K$5</f>
        <v>1097.93195991818</v>
      </c>
      <c r="AK33" s="22" t="n">
        <f aca="false">AK31*$K$5</f>
        <v>1168.90364446364</v>
      </c>
      <c r="AL33" s="22" t="n">
        <f aca="false">AL31*$K$5</f>
        <v>1197.64717670455</v>
      </c>
    </row>
    <row r="34" customFormat="false" ht="15" hidden="false" customHeight="false" outlineLevel="0" collapsed="false">
      <c r="A34" s="6" t="s">
        <v>497</v>
      </c>
      <c r="C34" s="14" t="n">
        <f aca="false">C31*$L$5/60*$M$5</f>
        <v>44.0154</v>
      </c>
      <c r="D34" s="14" t="n">
        <f aca="false">D31*$L$5/60*$M$5</f>
        <v>52.564545</v>
      </c>
      <c r="E34" s="14" t="n">
        <f aca="false">E31*$L$5/60*$M$5</f>
        <v>57.22002</v>
      </c>
      <c r="F34" s="14" t="n">
        <f aca="false">F31*$L$5/60*$M$5</f>
        <v>66.277035</v>
      </c>
      <c r="G34" s="14" t="n">
        <f aca="false">G31*$L$5/60*$M$5</f>
        <v>73.13328</v>
      </c>
      <c r="H34" s="14" t="n">
        <f aca="false">H31*$L$5/60*$M$5</f>
        <v>71.1018</v>
      </c>
      <c r="I34" s="14" t="n">
        <f aca="false">I31*$L$5/60*$M$5</f>
        <v>86.84577</v>
      </c>
      <c r="J34" s="14" t="n">
        <f aca="false">J31*$L$5/60*$M$5</f>
        <v>90.23157</v>
      </c>
      <c r="K34" s="14" t="n">
        <f aca="false">K31*$L$5/60*$M$5</f>
        <v>100.55826</v>
      </c>
      <c r="L34" s="14" t="n">
        <f aca="false">L31*$L$5/60*$M$5</f>
        <v>103.43619</v>
      </c>
      <c r="M34" s="14" t="n">
        <f aca="false">M31*$L$5/60*$M$5</f>
        <v>114.27075</v>
      </c>
      <c r="N34" s="14" t="n">
        <f aca="false">N31*$L$5/60*$M$5</f>
        <v>121.126995</v>
      </c>
      <c r="O34" s="14" t="n">
        <f aca="false">O31*$L$5/60*$M$5</f>
        <v>123.24312</v>
      </c>
      <c r="P34" s="14" t="n">
        <f aca="false">P31*$L$5/60*$M$5</f>
        <v>134.839485</v>
      </c>
      <c r="Q34" s="14" t="n">
        <f aca="false">Q31*$L$5/60*$M$5</f>
        <v>136.44774</v>
      </c>
      <c r="R34" s="14" t="n">
        <f aca="false">R31*$L$5/60*$M$5</f>
        <v>148.551975</v>
      </c>
      <c r="S34" s="14" t="n">
        <f aca="false">S31*$L$5/60*$M$5</f>
        <v>155.40822</v>
      </c>
      <c r="T34" s="14" t="n">
        <f aca="false">T31*$L$5/60*$M$5</f>
        <v>150.244875</v>
      </c>
      <c r="U34" s="14" t="n">
        <f aca="false">U31*$L$5/60*$M$5</f>
        <v>169.12071</v>
      </c>
      <c r="V34" s="14" t="n">
        <f aca="false">V31*$L$5/60*$M$5</f>
        <v>169.45929</v>
      </c>
      <c r="W34" s="14" t="n">
        <f aca="false">W31*$L$5/60*$M$5</f>
        <v>182.8332</v>
      </c>
      <c r="X34" s="14" t="n">
        <f aca="false">X31*$L$5/60*$M$5</f>
        <v>182.66391</v>
      </c>
      <c r="Y34" s="14" t="n">
        <f aca="false">Y31*$L$5/60*$M$5</f>
        <v>196.54569</v>
      </c>
      <c r="Z34" s="14" t="n">
        <f aca="false">Z31*$L$5/60*$M$5</f>
        <v>203.401935</v>
      </c>
      <c r="AA34" s="14" t="n">
        <f aca="false">AA31*$L$5/60*$M$5</f>
        <v>202.47084</v>
      </c>
      <c r="AB34" s="14" t="n">
        <f aca="false">AB31*$L$5/60*$M$5</f>
        <v>217.114425</v>
      </c>
      <c r="AC34" s="14" t="n">
        <f aca="false">AC31*$L$5/60*$M$5</f>
        <v>215.67546</v>
      </c>
      <c r="AD34" s="14" t="n">
        <f aca="false">AD31*$L$5/60*$M$5</f>
        <v>230.826915</v>
      </c>
      <c r="AE34" s="14" t="n">
        <f aca="false">AE31*$L$5/60*$M$5</f>
        <v>237.68316</v>
      </c>
      <c r="AF34" s="14" t="n">
        <f aca="false">AF31*$L$5/60*$M$5</f>
        <v>217.36836</v>
      </c>
      <c r="AG34" s="14" t="n">
        <f aca="false">AG31*$L$5/60*$M$5</f>
        <v>251.39565</v>
      </c>
      <c r="AH34" s="14" t="n">
        <f aca="false">AH31*$L$5/60*$M$5</f>
        <v>248.68701</v>
      </c>
      <c r="AI34" s="14" t="n">
        <f aca="false">AI31*$L$5/60*$M$5</f>
        <v>265.10814</v>
      </c>
      <c r="AJ34" s="14" t="n">
        <f aca="false">AJ31*$L$5/60*$M$5</f>
        <v>261.89163</v>
      </c>
      <c r="AK34" s="14" t="n">
        <f aca="false">AK31*$L$5/60*$M$5</f>
        <v>278.82063</v>
      </c>
      <c r="AL34" s="14" t="n">
        <f aca="false">AL31*$L$5/60*$M$5</f>
        <v>285.676875</v>
      </c>
    </row>
    <row r="35" customFormat="false" ht="15" hidden="false" customHeight="false" outlineLevel="0" collapsed="false">
      <c r="A35" s="36" t="s">
        <v>473</v>
      </c>
    </row>
    <row r="36" customFormat="false" ht="15" hidden="false" customHeight="false" outlineLevel="0" collapsed="false">
      <c r="A36" s="6" t="s">
        <v>493</v>
      </c>
      <c r="C36" s="14" t="n">
        <f aca="false">C$27*$N$6</f>
        <v>2.6676</v>
      </c>
      <c r="D36" s="14" t="n">
        <f aca="false">D$27*$N$6</f>
        <v>3.18573</v>
      </c>
      <c r="E36" s="14" t="n">
        <f aca="false">E$27*$N$6</f>
        <v>3.46788</v>
      </c>
      <c r="F36" s="14" t="n">
        <f aca="false">F$27*$N$6</f>
        <v>4.01679</v>
      </c>
      <c r="G36" s="14" t="n">
        <f aca="false">G$27*$N$6</f>
        <v>4.43232</v>
      </c>
      <c r="H36" s="14" t="n">
        <f aca="false">H$27*$N$6</f>
        <v>4.3092</v>
      </c>
      <c r="I36" s="14" t="n">
        <f aca="false">I$27*$N$6</f>
        <v>5.26338</v>
      </c>
      <c r="J36" s="14" t="n">
        <f aca="false">J$27*$N$6</f>
        <v>5.46858</v>
      </c>
      <c r="K36" s="14" t="n">
        <f aca="false">K$27*$N$6</f>
        <v>6.09444</v>
      </c>
      <c r="L36" s="14" t="n">
        <f aca="false">L$27*$N$6</f>
        <v>6.26886</v>
      </c>
      <c r="M36" s="14" t="n">
        <f aca="false">M$27*$N$6</f>
        <v>6.9255</v>
      </c>
      <c r="N36" s="14" t="n">
        <f aca="false">N$27*$N$6</f>
        <v>7.34103</v>
      </c>
      <c r="O36" s="14" t="n">
        <f aca="false">O$27*$N$6</f>
        <v>7.46928</v>
      </c>
      <c r="P36" s="14" t="n">
        <f aca="false">P$27*$N$6</f>
        <v>8.17209</v>
      </c>
      <c r="Q36" s="14" t="n">
        <f aca="false">Q$27*$N$6</f>
        <v>8.26956</v>
      </c>
      <c r="R36" s="14" t="n">
        <f aca="false">R$27*$N$6</f>
        <v>9.00315</v>
      </c>
      <c r="S36" s="14" t="n">
        <f aca="false">S$27*$N$6</f>
        <v>9.41868</v>
      </c>
      <c r="T36" s="14" t="n">
        <f aca="false">T$27*$N$6</f>
        <v>9.10575</v>
      </c>
      <c r="U36" s="14" t="n">
        <f aca="false">U$27*$N$6</f>
        <v>10.24974</v>
      </c>
      <c r="V36" s="14" t="n">
        <f aca="false">V$27*$N$6</f>
        <v>10.27026</v>
      </c>
      <c r="W36" s="14" t="n">
        <f aca="false">W$27*$N$6</f>
        <v>11.0808</v>
      </c>
      <c r="X36" s="14" t="n">
        <f aca="false">X$27*$N$6</f>
        <v>11.07054</v>
      </c>
      <c r="Y36" s="14" t="n">
        <f aca="false">Y$27*$N$6</f>
        <v>11.91186</v>
      </c>
      <c r="Z36" s="14" t="n">
        <f aca="false">Z$27*$N$6</f>
        <v>12.32739</v>
      </c>
      <c r="AA36" s="14" t="n">
        <f aca="false">AA$27*$N$6</f>
        <v>12.27096</v>
      </c>
      <c r="AB36" s="14" t="n">
        <f aca="false">AB$27*$N$6</f>
        <v>13.15845</v>
      </c>
      <c r="AC36" s="14" t="n">
        <f aca="false">AC$27*$N$6</f>
        <v>13.07124</v>
      </c>
      <c r="AD36" s="14" t="n">
        <f aca="false">AD$27*$N$6</f>
        <v>13.98951</v>
      </c>
      <c r="AE36" s="14" t="n">
        <f aca="false">AE$27*$N$6</f>
        <v>14.40504</v>
      </c>
      <c r="AF36" s="14" t="n">
        <f aca="false">AF$27*$N$6</f>
        <v>13.17384</v>
      </c>
      <c r="AG36" s="14" t="n">
        <f aca="false">AG$27*$N$6</f>
        <v>15.2361</v>
      </c>
      <c r="AH36" s="14" t="n">
        <f aca="false">AH$27*$N$6</f>
        <v>15.07194</v>
      </c>
      <c r="AI36" s="14" t="n">
        <f aca="false">AI$27*$N$6</f>
        <v>16.06716</v>
      </c>
      <c r="AJ36" s="14" t="n">
        <f aca="false">AJ$27*$N$6</f>
        <v>15.87222</v>
      </c>
      <c r="AK36" s="14" t="n">
        <f aca="false">AK$27*$N$6</f>
        <v>16.89822</v>
      </c>
      <c r="AL36" s="14" t="n">
        <f aca="false">AL$27*$N$6</f>
        <v>17.31375</v>
      </c>
    </row>
    <row r="37" customFormat="false" ht="15" hidden="false" customHeight="false" outlineLevel="0" collapsed="false">
      <c r="A37" s="6" t="s">
        <v>494</v>
      </c>
      <c r="C37" s="14" t="n">
        <f aca="false">IF($E$6=0,0,C36*60/$E$6)</f>
        <v>4.57302857142857</v>
      </c>
      <c r="D37" s="14" t="n">
        <f aca="false">IF($E$6=0,0,D36*60/$E$6)</f>
        <v>5.46125142857143</v>
      </c>
      <c r="E37" s="14" t="n">
        <f aca="false">IF($E$6=0,0,E36*60/$E$6)</f>
        <v>5.94493714285714</v>
      </c>
      <c r="F37" s="14" t="n">
        <f aca="false">IF($E$6=0,0,F36*60/$E$6)</f>
        <v>6.88592571428571</v>
      </c>
      <c r="G37" s="14" t="n">
        <f aca="false">IF($E$6=0,0,G36*60/$E$6)</f>
        <v>7.59826285714286</v>
      </c>
      <c r="H37" s="14" t="n">
        <f aca="false">IF($E$6=0,0,H36*60/$E$6)</f>
        <v>7.3872</v>
      </c>
      <c r="I37" s="14" t="n">
        <f aca="false">IF($E$6=0,0,I36*60/$E$6)</f>
        <v>9.02293714285714</v>
      </c>
      <c r="J37" s="14" t="n">
        <f aca="false">IF($E$6=0,0,J36*60/$E$6)</f>
        <v>9.37470857142857</v>
      </c>
      <c r="K37" s="14" t="n">
        <f aca="false">IF($E$6=0,0,K36*60/$E$6)</f>
        <v>10.4476114285714</v>
      </c>
      <c r="L37" s="14" t="n">
        <f aca="false">IF($E$6=0,0,L36*60/$E$6)</f>
        <v>10.7466171428571</v>
      </c>
      <c r="M37" s="14" t="n">
        <f aca="false">IF($E$6=0,0,M36*60/$E$6)</f>
        <v>11.8722857142857</v>
      </c>
      <c r="N37" s="14" t="n">
        <f aca="false">IF($E$6=0,0,N36*60/$E$6)</f>
        <v>12.5846228571429</v>
      </c>
      <c r="O37" s="14" t="n">
        <f aca="false">IF($E$6=0,0,O36*60/$E$6)</f>
        <v>12.80448</v>
      </c>
      <c r="P37" s="14" t="n">
        <f aca="false">IF($E$6=0,0,P36*60/$E$6)</f>
        <v>14.0092971428571</v>
      </c>
      <c r="Q37" s="14" t="n">
        <f aca="false">IF($E$6=0,0,Q36*60/$E$6)</f>
        <v>14.1763885714286</v>
      </c>
      <c r="R37" s="14" t="n">
        <f aca="false">IF($E$6=0,0,R36*60/$E$6)</f>
        <v>15.4339714285714</v>
      </c>
      <c r="S37" s="14" t="n">
        <f aca="false">IF($E$6=0,0,S36*60/$E$6)</f>
        <v>16.1463085714286</v>
      </c>
      <c r="T37" s="14" t="n">
        <f aca="false">IF($E$6=0,0,T36*60/$E$6)</f>
        <v>15.6098571428571</v>
      </c>
      <c r="U37" s="14" t="n">
        <f aca="false">IF($E$6=0,0,U36*60/$E$6)</f>
        <v>17.5709828571429</v>
      </c>
      <c r="V37" s="14" t="n">
        <f aca="false">IF($E$6=0,0,V36*60/$E$6)</f>
        <v>17.60616</v>
      </c>
      <c r="W37" s="14" t="n">
        <f aca="false">IF($E$6=0,0,W36*60/$E$6)</f>
        <v>18.9956571428571</v>
      </c>
      <c r="X37" s="14" t="n">
        <f aca="false">IF($E$6=0,0,X36*60/$E$6)</f>
        <v>18.9780685714286</v>
      </c>
      <c r="Y37" s="14" t="n">
        <f aca="false">IF($E$6=0,0,Y36*60/$E$6)</f>
        <v>20.4203314285714</v>
      </c>
      <c r="Z37" s="14" t="n">
        <f aca="false">IF($E$6=0,0,Z36*60/$E$6)</f>
        <v>21.1326685714286</v>
      </c>
      <c r="AA37" s="14" t="n">
        <f aca="false">IF($E$6=0,0,AA36*60/$E$6)</f>
        <v>21.0359314285714</v>
      </c>
      <c r="AB37" s="14" t="n">
        <f aca="false">IF($E$6=0,0,AB36*60/$E$6)</f>
        <v>22.5573428571429</v>
      </c>
      <c r="AC37" s="14" t="n">
        <f aca="false">IF($E$6=0,0,AC36*60/$E$6)</f>
        <v>22.40784</v>
      </c>
      <c r="AD37" s="14" t="n">
        <f aca="false">IF($E$6=0,0,AD36*60/$E$6)</f>
        <v>23.9820171428571</v>
      </c>
      <c r="AE37" s="14" t="n">
        <f aca="false">IF($E$6=0,0,AE36*60/$E$6)</f>
        <v>24.6943542857143</v>
      </c>
      <c r="AF37" s="14" t="n">
        <f aca="false">IF($E$6=0,0,AF36*60/$E$6)</f>
        <v>22.5837257142857</v>
      </c>
      <c r="AG37" s="14" t="n">
        <f aca="false">IF($E$6=0,0,AG36*60/$E$6)</f>
        <v>26.1190285714286</v>
      </c>
      <c r="AH37" s="14" t="n">
        <f aca="false">IF($E$6=0,0,AH36*60/$E$6)</f>
        <v>25.8376114285714</v>
      </c>
      <c r="AI37" s="14" t="n">
        <f aca="false">IF($E$6=0,0,AI36*60/$E$6)</f>
        <v>27.5437028571429</v>
      </c>
      <c r="AJ37" s="14" t="n">
        <f aca="false">IF($E$6=0,0,AJ36*60/$E$6)</f>
        <v>27.20952</v>
      </c>
      <c r="AK37" s="14" t="n">
        <f aca="false">IF($E$6=0,0,AK36*60/$E$6)</f>
        <v>28.9683771428571</v>
      </c>
      <c r="AL37" s="14" t="n">
        <f aca="false">IF($E$6=0,0,AL36*60/$E$6)</f>
        <v>29.6807142857143</v>
      </c>
    </row>
    <row r="38" customFormat="false" ht="15" hidden="false" customHeight="false" outlineLevel="0" collapsed="false">
      <c r="A38" s="6" t="s">
        <v>495</v>
      </c>
      <c r="C38" s="22" t="n">
        <f aca="false">C37*$H$6</f>
        <v>930.9924</v>
      </c>
      <c r="D38" s="22" t="n">
        <f aca="false">D37*$H$6</f>
        <v>1111.81977</v>
      </c>
      <c r="E38" s="22" t="n">
        <f aca="false">E37*$H$6</f>
        <v>1210.29012</v>
      </c>
      <c r="F38" s="22" t="n">
        <f aca="false">F37*$H$6</f>
        <v>1401.85971</v>
      </c>
      <c r="G38" s="22" t="n">
        <f aca="false">G37*$H$6</f>
        <v>1546.87968</v>
      </c>
      <c r="H38" s="22" t="n">
        <f aca="false">H37*$H$6</f>
        <v>1503.9108</v>
      </c>
      <c r="I38" s="22" t="n">
        <f aca="false">I37*$H$6</f>
        <v>1836.91962</v>
      </c>
      <c r="J38" s="22" t="n">
        <f aca="false">J37*$H$6</f>
        <v>1908.53442</v>
      </c>
      <c r="K38" s="22" t="n">
        <f aca="false">K37*$H$6</f>
        <v>2126.95956</v>
      </c>
      <c r="L38" s="22" t="n">
        <f aca="false">L37*$H$6</f>
        <v>2187.83214</v>
      </c>
      <c r="M38" s="22" t="n">
        <f aca="false">M37*$H$6</f>
        <v>2416.9995</v>
      </c>
      <c r="N38" s="22" t="n">
        <f aca="false">N37*$H$6</f>
        <v>2562.01947</v>
      </c>
      <c r="O38" s="22" t="n">
        <f aca="false">O37*$H$6</f>
        <v>2606.77872</v>
      </c>
      <c r="P38" s="22" t="n">
        <f aca="false">P37*$H$6</f>
        <v>2852.05941</v>
      </c>
      <c r="Q38" s="22" t="n">
        <f aca="false">Q37*$H$6</f>
        <v>2886.07644</v>
      </c>
      <c r="R38" s="22" t="n">
        <f aca="false">R37*$H$6</f>
        <v>3142.09935</v>
      </c>
      <c r="S38" s="22" t="n">
        <f aca="false">S37*$H$6</f>
        <v>3287.11932</v>
      </c>
      <c r="T38" s="22" t="n">
        <f aca="false">T37*$H$6</f>
        <v>3177.90675</v>
      </c>
      <c r="U38" s="22" t="n">
        <f aca="false">U37*$H$6</f>
        <v>3577.15926</v>
      </c>
      <c r="V38" s="22" t="n">
        <f aca="false">V37*$H$6</f>
        <v>3584.32074</v>
      </c>
      <c r="W38" s="22" t="n">
        <f aca="false">W37*$H$6</f>
        <v>3867.1992</v>
      </c>
      <c r="X38" s="22" t="n">
        <f aca="false">X37*$H$6</f>
        <v>3863.61846</v>
      </c>
      <c r="Y38" s="22" t="n">
        <f aca="false">Y37*$H$6</f>
        <v>4157.23914</v>
      </c>
      <c r="Z38" s="22" t="n">
        <f aca="false">Z37*$H$6</f>
        <v>4302.25911</v>
      </c>
      <c r="AA38" s="22" t="n">
        <f aca="false">AA37*$H$6</f>
        <v>4282.56504</v>
      </c>
      <c r="AB38" s="22" t="n">
        <f aca="false">AB37*$H$6</f>
        <v>4592.29905</v>
      </c>
      <c r="AC38" s="22" t="n">
        <f aca="false">AC37*$H$6</f>
        <v>4561.86276</v>
      </c>
      <c r="AD38" s="22" t="n">
        <f aca="false">AD37*$H$6</f>
        <v>4882.33899</v>
      </c>
      <c r="AE38" s="22" t="n">
        <f aca="false">AE37*$H$6</f>
        <v>5027.35896</v>
      </c>
      <c r="AF38" s="22" t="n">
        <f aca="false">AF37*$H$6</f>
        <v>4597.67016</v>
      </c>
      <c r="AG38" s="22" t="n">
        <f aca="false">AG37*$H$6</f>
        <v>5317.3989</v>
      </c>
      <c r="AH38" s="22" t="n">
        <f aca="false">AH37*$H$6</f>
        <v>5260.10706</v>
      </c>
      <c r="AI38" s="22" t="n">
        <f aca="false">AI37*$H$6</f>
        <v>5607.43884</v>
      </c>
      <c r="AJ38" s="22" t="n">
        <f aca="false">AJ37*$H$6</f>
        <v>5539.40478</v>
      </c>
      <c r="AK38" s="22" t="n">
        <f aca="false">AK37*$H$6</f>
        <v>5897.47878</v>
      </c>
      <c r="AL38" s="22" t="n">
        <f aca="false">AL37*$H$6</f>
        <v>6042.49875</v>
      </c>
    </row>
    <row r="39" customFormat="false" ht="15" hidden="false" customHeight="false" outlineLevel="0" collapsed="false">
      <c r="A39" s="6" t="s">
        <v>496</v>
      </c>
      <c r="C39" s="22" t="n">
        <f aca="false">C37*$K$6</f>
        <v>32.3333444571429</v>
      </c>
      <c r="D39" s="22" t="n">
        <f aca="false">D37*$K$6</f>
        <v>38.6134748228572</v>
      </c>
      <c r="E39" s="22" t="n">
        <f aca="false">E37*$K$6</f>
        <v>42.0333477942857</v>
      </c>
      <c r="F39" s="22" t="n">
        <f aca="false">F37*$K$6</f>
        <v>48.6865552114286</v>
      </c>
      <c r="G39" s="22" t="n">
        <f aca="false">G37*$K$6</f>
        <v>53.7230954057143</v>
      </c>
      <c r="H39" s="22" t="n">
        <f aca="false">H37*$K$6</f>
        <v>52.2307872</v>
      </c>
      <c r="I39" s="22" t="n">
        <f aca="false">I37*$K$6</f>
        <v>63.7961757942857</v>
      </c>
      <c r="J39" s="22" t="n">
        <f aca="false">J37*$K$6</f>
        <v>66.2833561371429</v>
      </c>
      <c r="K39" s="22" t="n">
        <f aca="false">K37*$K$6</f>
        <v>73.8692561828572</v>
      </c>
      <c r="L39" s="22" t="n">
        <f aca="false">L37*$K$6</f>
        <v>75.9833594742857</v>
      </c>
      <c r="M39" s="22" t="n">
        <f aca="false">M37*$K$6</f>
        <v>83.9423365714286</v>
      </c>
      <c r="N39" s="22" t="n">
        <f aca="false">N37*$K$6</f>
        <v>88.9788767657143</v>
      </c>
      <c r="O39" s="22" t="n">
        <f aca="false">O37*$K$6</f>
        <v>90.53336448</v>
      </c>
      <c r="P39" s="22" t="n">
        <f aca="false">P37*$K$6</f>
        <v>99.0519571542857</v>
      </c>
      <c r="Q39" s="22" t="n">
        <f aca="false">Q37*$K$6</f>
        <v>100.233367817143</v>
      </c>
      <c r="R39" s="22" t="n">
        <f aca="false">R37*$K$6</f>
        <v>109.125037542857</v>
      </c>
      <c r="S39" s="22" t="n">
        <f aca="false">S37*$K$6</f>
        <v>114.161577737143</v>
      </c>
      <c r="T39" s="22" t="n">
        <f aca="false">T37*$K$6</f>
        <v>110.368627714286</v>
      </c>
      <c r="U39" s="22" t="n">
        <f aca="false">U37*$K$6</f>
        <v>124.234658125714</v>
      </c>
      <c r="V39" s="22" t="n">
        <f aca="false">V37*$K$6</f>
        <v>124.48337616</v>
      </c>
      <c r="W39" s="22" t="n">
        <f aca="false">W37*$K$6</f>
        <v>134.307738514286</v>
      </c>
      <c r="X39" s="22" t="n">
        <f aca="false">X37*$K$6</f>
        <v>134.183379497143</v>
      </c>
      <c r="Y39" s="22" t="n">
        <f aca="false">Y37*$K$6</f>
        <v>144.380818902857</v>
      </c>
      <c r="Z39" s="22" t="n">
        <f aca="false">Z37*$K$6</f>
        <v>149.417359097143</v>
      </c>
      <c r="AA39" s="22" t="n">
        <f aca="false">AA37*$K$6</f>
        <v>148.733384502857</v>
      </c>
      <c r="AB39" s="22" t="n">
        <f aca="false">AB37*$K$6</f>
        <v>159.490439485714</v>
      </c>
      <c r="AC39" s="22" t="n">
        <f aca="false">AC37*$K$6</f>
        <v>158.43338784</v>
      </c>
      <c r="AD39" s="22" t="n">
        <f aca="false">AD37*$K$6</f>
        <v>169.563519874286</v>
      </c>
      <c r="AE39" s="22" t="n">
        <f aca="false">AE37*$K$6</f>
        <v>174.600060068571</v>
      </c>
      <c r="AF39" s="22" t="n">
        <f aca="false">AF37*$K$6</f>
        <v>159.676978011429</v>
      </c>
      <c r="AG39" s="22" t="n">
        <f aca="false">AG37*$K$6</f>
        <v>184.673140457143</v>
      </c>
      <c r="AH39" s="22" t="n">
        <f aca="false">AH37*$K$6</f>
        <v>182.683396182857</v>
      </c>
      <c r="AI39" s="22" t="n">
        <f aca="false">AI37*$K$6</f>
        <v>194.746220845714</v>
      </c>
      <c r="AJ39" s="22" t="n">
        <f aca="false">AJ37*$K$6</f>
        <v>192.38339952</v>
      </c>
      <c r="AK39" s="22" t="n">
        <f aca="false">AK37*$K$6</f>
        <v>204.819301234286</v>
      </c>
      <c r="AL39" s="22" t="n">
        <f aca="false">AL37*$K$6</f>
        <v>209.855841428571</v>
      </c>
    </row>
    <row r="40" customFormat="false" ht="15" hidden="false" customHeight="false" outlineLevel="0" collapsed="false">
      <c r="A40" s="6" t="s">
        <v>497</v>
      </c>
      <c r="C40" s="14" t="n">
        <f aca="false">C37*$L$6/60*$M$6</f>
        <v>2.13408</v>
      </c>
      <c r="D40" s="14" t="n">
        <f aca="false">D37*$L$6/60*$M$6</f>
        <v>2.548584</v>
      </c>
      <c r="E40" s="14" t="n">
        <f aca="false">E37*$L$6/60*$M$6</f>
        <v>2.774304</v>
      </c>
      <c r="F40" s="14" t="n">
        <f aca="false">F37*$L$6/60*$M$6</f>
        <v>3.213432</v>
      </c>
      <c r="G40" s="14" t="n">
        <f aca="false">G37*$L$6/60*$M$6</f>
        <v>3.545856</v>
      </c>
      <c r="H40" s="14" t="n">
        <f aca="false">H37*$L$6/60*$M$6</f>
        <v>3.44736</v>
      </c>
      <c r="I40" s="14" t="n">
        <f aca="false">I37*$L$6/60*$M$6</f>
        <v>4.210704</v>
      </c>
      <c r="J40" s="14" t="n">
        <f aca="false">J37*$L$6/60*$M$6</f>
        <v>4.374864</v>
      </c>
      <c r="K40" s="14" t="n">
        <f aca="false">K37*$L$6/60*$M$6</f>
        <v>4.875552</v>
      </c>
      <c r="L40" s="14" t="n">
        <f aca="false">L37*$L$6/60*$M$6</f>
        <v>5.015088</v>
      </c>
      <c r="M40" s="14" t="n">
        <f aca="false">M37*$L$6/60*$M$6</f>
        <v>5.5404</v>
      </c>
      <c r="N40" s="14" t="n">
        <f aca="false">N37*$L$6/60*$M$6</f>
        <v>5.872824</v>
      </c>
      <c r="O40" s="14" t="n">
        <f aca="false">O37*$L$6/60*$M$6</f>
        <v>5.975424</v>
      </c>
      <c r="P40" s="14" t="n">
        <f aca="false">P37*$L$6/60*$M$6</f>
        <v>6.537672</v>
      </c>
      <c r="Q40" s="14" t="n">
        <f aca="false">Q37*$L$6/60*$M$6</f>
        <v>6.615648</v>
      </c>
      <c r="R40" s="14" t="n">
        <f aca="false">R37*$L$6/60*$M$6</f>
        <v>7.20252</v>
      </c>
      <c r="S40" s="14" t="n">
        <f aca="false">S37*$L$6/60*$M$6</f>
        <v>7.534944</v>
      </c>
      <c r="T40" s="14" t="n">
        <f aca="false">T37*$L$6/60*$M$6</f>
        <v>7.2846</v>
      </c>
      <c r="U40" s="14" t="n">
        <f aca="false">U37*$L$6/60*$M$6</f>
        <v>8.199792</v>
      </c>
      <c r="V40" s="14" t="n">
        <f aca="false">V37*$L$6/60*$M$6</f>
        <v>8.216208</v>
      </c>
      <c r="W40" s="14" t="n">
        <f aca="false">W37*$L$6/60*$M$6</f>
        <v>8.86464</v>
      </c>
      <c r="X40" s="14" t="n">
        <f aca="false">X37*$L$6/60*$M$6</f>
        <v>8.856432</v>
      </c>
      <c r="Y40" s="14" t="n">
        <f aca="false">Y37*$L$6/60*$M$6</f>
        <v>9.529488</v>
      </c>
      <c r="Z40" s="14" t="n">
        <f aca="false">Z37*$L$6/60*$M$6</f>
        <v>9.861912</v>
      </c>
      <c r="AA40" s="14" t="n">
        <f aca="false">AA37*$L$6/60*$M$6</f>
        <v>9.816768</v>
      </c>
      <c r="AB40" s="14" t="n">
        <f aca="false">AB37*$L$6/60*$M$6</f>
        <v>10.52676</v>
      </c>
      <c r="AC40" s="14" t="n">
        <f aca="false">AC37*$L$6/60*$M$6</f>
        <v>10.456992</v>
      </c>
      <c r="AD40" s="14" t="n">
        <f aca="false">AD37*$L$6/60*$M$6</f>
        <v>11.191608</v>
      </c>
      <c r="AE40" s="14" t="n">
        <f aca="false">AE37*$L$6/60*$M$6</f>
        <v>11.524032</v>
      </c>
      <c r="AF40" s="14" t="n">
        <f aca="false">AF37*$L$6/60*$M$6</f>
        <v>10.539072</v>
      </c>
      <c r="AG40" s="14" t="n">
        <f aca="false">AG37*$L$6/60*$M$6</f>
        <v>12.18888</v>
      </c>
      <c r="AH40" s="14" t="n">
        <f aca="false">AH37*$L$6/60*$M$6</f>
        <v>12.057552</v>
      </c>
      <c r="AI40" s="14" t="n">
        <f aca="false">AI37*$L$6/60*$M$6</f>
        <v>12.853728</v>
      </c>
      <c r="AJ40" s="14" t="n">
        <f aca="false">AJ37*$L$6/60*$M$6</f>
        <v>12.697776</v>
      </c>
      <c r="AK40" s="14" t="n">
        <f aca="false">AK37*$L$6/60*$M$6</f>
        <v>13.518576</v>
      </c>
      <c r="AL40" s="14" t="n">
        <f aca="false">AL37*$L$6/60*$M$6</f>
        <v>13.851</v>
      </c>
    </row>
    <row r="41" customFormat="false" ht="15" hidden="false" customHeight="false" outlineLevel="0" collapsed="false">
      <c r="A41" s="36" t="s">
        <v>474</v>
      </c>
    </row>
    <row r="42" customFormat="false" ht="15" hidden="false" customHeight="false" outlineLevel="0" collapsed="false">
      <c r="A42" s="6" t="s">
        <v>493</v>
      </c>
      <c r="C42" s="14" t="n">
        <f aca="false">C$27*$N$7</f>
        <v>1.7784</v>
      </c>
      <c r="D42" s="14" t="n">
        <f aca="false">D$27*$N$7</f>
        <v>2.12382</v>
      </c>
      <c r="E42" s="14" t="n">
        <f aca="false">E$27*$N$7</f>
        <v>2.31192</v>
      </c>
      <c r="F42" s="14" t="n">
        <f aca="false">F$27*$N$7</f>
        <v>2.67786</v>
      </c>
      <c r="G42" s="14" t="n">
        <f aca="false">G$27*$N$7</f>
        <v>2.95488</v>
      </c>
      <c r="H42" s="14" t="n">
        <f aca="false">H$27*$N$7</f>
        <v>2.8728</v>
      </c>
      <c r="I42" s="14" t="n">
        <f aca="false">I$27*$N$7</f>
        <v>3.50892</v>
      </c>
      <c r="J42" s="14" t="n">
        <f aca="false">J$27*$N$7</f>
        <v>3.64572</v>
      </c>
      <c r="K42" s="14" t="n">
        <f aca="false">K$27*$N$7</f>
        <v>4.06296</v>
      </c>
      <c r="L42" s="14" t="n">
        <f aca="false">L$27*$N$7</f>
        <v>4.17924</v>
      </c>
      <c r="M42" s="14" t="n">
        <f aca="false">M$27*$N$7</f>
        <v>4.617</v>
      </c>
      <c r="N42" s="14" t="n">
        <f aca="false">N$27*$N$7</f>
        <v>4.89402</v>
      </c>
      <c r="O42" s="14" t="n">
        <f aca="false">O$27*$N$7</f>
        <v>4.97952</v>
      </c>
      <c r="P42" s="14" t="n">
        <f aca="false">P$27*$N$7</f>
        <v>5.44806</v>
      </c>
      <c r="Q42" s="14" t="n">
        <f aca="false">Q$27*$N$7</f>
        <v>5.51304</v>
      </c>
      <c r="R42" s="14" t="n">
        <f aca="false">R$27*$N$7</f>
        <v>6.0021</v>
      </c>
      <c r="S42" s="14" t="n">
        <f aca="false">S$27*$N$7</f>
        <v>6.27912</v>
      </c>
      <c r="T42" s="14" t="n">
        <f aca="false">T$27*$N$7</f>
        <v>6.0705</v>
      </c>
      <c r="U42" s="14" t="n">
        <f aca="false">U$27*$N$7</f>
        <v>6.83316</v>
      </c>
      <c r="V42" s="14" t="n">
        <f aca="false">V$27*$N$7</f>
        <v>6.84684</v>
      </c>
      <c r="W42" s="14" t="n">
        <f aca="false">W$27*$N$7</f>
        <v>7.3872</v>
      </c>
      <c r="X42" s="14" t="n">
        <f aca="false">X$27*$N$7</f>
        <v>7.38036</v>
      </c>
      <c r="Y42" s="14" t="n">
        <f aca="false">Y$27*$N$7</f>
        <v>7.94124</v>
      </c>
      <c r="Z42" s="14" t="n">
        <f aca="false">Z$27*$N$7</f>
        <v>8.21826</v>
      </c>
      <c r="AA42" s="14" t="n">
        <f aca="false">AA$27*$N$7</f>
        <v>8.18064</v>
      </c>
      <c r="AB42" s="14" t="n">
        <f aca="false">AB$27*$N$7</f>
        <v>8.7723</v>
      </c>
      <c r="AC42" s="14" t="n">
        <f aca="false">AC$27*$N$7</f>
        <v>8.71416</v>
      </c>
      <c r="AD42" s="14" t="n">
        <f aca="false">AD$27*$N$7</f>
        <v>9.32634</v>
      </c>
      <c r="AE42" s="14" t="n">
        <f aca="false">AE$27*$N$7</f>
        <v>9.60336</v>
      </c>
      <c r="AF42" s="14" t="n">
        <f aca="false">AF$27*$N$7</f>
        <v>8.78256</v>
      </c>
      <c r="AG42" s="14" t="n">
        <f aca="false">AG$27*$N$7</f>
        <v>10.1574</v>
      </c>
      <c r="AH42" s="14" t="n">
        <f aca="false">AH$27*$N$7</f>
        <v>10.04796</v>
      </c>
      <c r="AI42" s="14" t="n">
        <f aca="false">AI$27*$N$7</f>
        <v>10.71144</v>
      </c>
      <c r="AJ42" s="14" t="n">
        <f aca="false">AJ$27*$N$7</f>
        <v>10.58148</v>
      </c>
      <c r="AK42" s="14" t="n">
        <f aca="false">AK$27*$N$7</f>
        <v>11.26548</v>
      </c>
      <c r="AL42" s="14" t="n">
        <f aca="false">AL$27*$N$7</f>
        <v>11.5425</v>
      </c>
    </row>
    <row r="43" customFormat="false" ht="15" hidden="false" customHeight="false" outlineLevel="0" collapsed="false">
      <c r="A43" s="6" t="s">
        <v>494</v>
      </c>
      <c r="C43" s="14" t="n">
        <f aca="false">IF($E$7=0,0,C42*60/$E$7)</f>
        <v>2.13408</v>
      </c>
      <c r="D43" s="14" t="n">
        <f aca="false">IF($E$7=0,0,D42*60/$E$7)</f>
        <v>2.548584</v>
      </c>
      <c r="E43" s="14" t="n">
        <f aca="false">IF($E$7=0,0,E42*60/$E$7)</f>
        <v>2.774304</v>
      </c>
      <c r="F43" s="14" t="n">
        <f aca="false">IF($E$7=0,0,F42*60/$E$7)</f>
        <v>3.213432</v>
      </c>
      <c r="G43" s="14" t="n">
        <f aca="false">IF($E$7=0,0,G42*60/$E$7)</f>
        <v>3.545856</v>
      </c>
      <c r="H43" s="14" t="n">
        <f aca="false">IF($E$7=0,0,H42*60/$E$7)</f>
        <v>3.44736</v>
      </c>
      <c r="I43" s="14" t="n">
        <f aca="false">IF($E$7=0,0,I42*60/$E$7)</f>
        <v>4.210704</v>
      </c>
      <c r="J43" s="14" t="n">
        <f aca="false">IF($E$7=0,0,J42*60/$E$7)</f>
        <v>4.374864</v>
      </c>
      <c r="K43" s="14" t="n">
        <f aca="false">IF($E$7=0,0,K42*60/$E$7)</f>
        <v>4.875552</v>
      </c>
      <c r="L43" s="14" t="n">
        <f aca="false">IF($E$7=0,0,L42*60/$E$7)</f>
        <v>5.015088</v>
      </c>
      <c r="M43" s="14" t="n">
        <f aca="false">IF($E$7=0,0,M42*60/$E$7)</f>
        <v>5.5404</v>
      </c>
      <c r="N43" s="14" t="n">
        <f aca="false">IF($E$7=0,0,N42*60/$E$7)</f>
        <v>5.872824</v>
      </c>
      <c r="O43" s="14" t="n">
        <f aca="false">IF($E$7=0,0,O42*60/$E$7)</f>
        <v>5.975424</v>
      </c>
      <c r="P43" s="14" t="n">
        <f aca="false">IF($E$7=0,0,P42*60/$E$7)</f>
        <v>6.537672</v>
      </c>
      <c r="Q43" s="14" t="n">
        <f aca="false">IF($E$7=0,0,Q42*60/$E$7)</f>
        <v>6.615648</v>
      </c>
      <c r="R43" s="14" t="n">
        <f aca="false">IF($E$7=0,0,R42*60/$E$7)</f>
        <v>7.20252</v>
      </c>
      <c r="S43" s="14" t="n">
        <f aca="false">IF($E$7=0,0,S42*60/$E$7)</f>
        <v>7.534944</v>
      </c>
      <c r="T43" s="14" t="n">
        <f aca="false">IF($E$7=0,0,T42*60/$E$7)</f>
        <v>7.2846</v>
      </c>
      <c r="U43" s="14" t="n">
        <f aca="false">IF($E$7=0,0,U42*60/$E$7)</f>
        <v>8.199792</v>
      </c>
      <c r="V43" s="14" t="n">
        <f aca="false">IF($E$7=0,0,V42*60/$E$7)</f>
        <v>8.216208</v>
      </c>
      <c r="W43" s="14" t="n">
        <f aca="false">IF($E$7=0,0,W42*60/$E$7)</f>
        <v>8.86464</v>
      </c>
      <c r="X43" s="14" t="n">
        <f aca="false">IF($E$7=0,0,X42*60/$E$7)</f>
        <v>8.856432</v>
      </c>
      <c r="Y43" s="14" t="n">
        <f aca="false">IF($E$7=0,0,Y42*60/$E$7)</f>
        <v>9.529488</v>
      </c>
      <c r="Z43" s="14" t="n">
        <f aca="false">IF($E$7=0,0,Z42*60/$E$7)</f>
        <v>9.861912</v>
      </c>
      <c r="AA43" s="14" t="n">
        <f aca="false">IF($E$7=0,0,AA42*60/$E$7)</f>
        <v>9.816768</v>
      </c>
      <c r="AB43" s="14" t="n">
        <f aca="false">IF($E$7=0,0,AB42*60/$E$7)</f>
        <v>10.52676</v>
      </c>
      <c r="AC43" s="14" t="n">
        <f aca="false">IF($E$7=0,0,AC42*60/$E$7)</f>
        <v>10.456992</v>
      </c>
      <c r="AD43" s="14" t="n">
        <f aca="false">IF($E$7=0,0,AD42*60/$E$7)</f>
        <v>11.191608</v>
      </c>
      <c r="AE43" s="14" t="n">
        <f aca="false">IF($E$7=0,0,AE42*60/$E$7)</f>
        <v>11.524032</v>
      </c>
      <c r="AF43" s="14" t="n">
        <f aca="false">IF($E$7=0,0,AF42*60/$E$7)</f>
        <v>10.539072</v>
      </c>
      <c r="AG43" s="14" t="n">
        <f aca="false">IF($E$7=0,0,AG42*60/$E$7)</f>
        <v>12.18888</v>
      </c>
      <c r="AH43" s="14" t="n">
        <f aca="false">IF($E$7=0,0,AH42*60/$E$7)</f>
        <v>12.057552</v>
      </c>
      <c r="AI43" s="14" t="n">
        <f aca="false">IF($E$7=0,0,AI42*60/$E$7)</f>
        <v>12.853728</v>
      </c>
      <c r="AJ43" s="14" t="n">
        <f aca="false">IF($E$7=0,0,AJ42*60/$E$7)</f>
        <v>12.697776</v>
      </c>
      <c r="AK43" s="14" t="n">
        <f aca="false">IF($E$7=0,0,AK42*60/$E$7)</f>
        <v>13.518576</v>
      </c>
      <c r="AL43" s="14" t="n">
        <f aca="false">IF($E$7=0,0,AL42*60/$E$7)</f>
        <v>13.851</v>
      </c>
    </row>
    <row r="44" customFormat="false" ht="15" hidden="false" customHeight="false" outlineLevel="0" collapsed="false">
      <c r="A44" s="6" t="s">
        <v>495</v>
      </c>
      <c r="C44" s="22" t="n">
        <f aca="false">C43*$H$7</f>
        <v>803.89152</v>
      </c>
      <c r="D44" s="22" t="n">
        <f aca="false">D43*$H$7</f>
        <v>960.031988307692</v>
      </c>
      <c r="E44" s="22" t="n">
        <f aca="false">E43*$H$7</f>
        <v>1045.058976</v>
      </c>
      <c r="F44" s="22" t="n">
        <f aca="false">F43*$H$7</f>
        <v>1210.47511569231</v>
      </c>
      <c r="G44" s="22" t="n">
        <f aca="false">G43*$H$7</f>
        <v>1335.69667938462</v>
      </c>
      <c r="H44" s="22" t="n">
        <f aca="false">H43*$H$7</f>
        <v>1298.59399384615</v>
      </c>
      <c r="I44" s="22" t="n">
        <f aca="false">I43*$H$7</f>
        <v>1586.13980676923</v>
      </c>
      <c r="J44" s="22" t="n">
        <f aca="false">J43*$H$7</f>
        <v>1647.977616</v>
      </c>
      <c r="K44" s="22" t="n">
        <f aca="false">K43*$H$7</f>
        <v>1836.58293415385</v>
      </c>
      <c r="L44" s="22" t="n">
        <f aca="false">L43*$H$7</f>
        <v>1889.145072</v>
      </c>
      <c r="M44" s="22" t="n">
        <f aca="false">M43*$H$7</f>
        <v>2087.02606153846</v>
      </c>
      <c r="N44" s="22" t="n">
        <f aca="false">N43*$H$7</f>
        <v>2212.24762523077</v>
      </c>
      <c r="O44" s="22" t="n">
        <f aca="false">O43*$H$7</f>
        <v>2250.896256</v>
      </c>
      <c r="P44" s="22" t="n">
        <f aca="false">P43*$H$7</f>
        <v>2462.69075261538</v>
      </c>
      <c r="Q44" s="22" t="n">
        <f aca="false">Q43*$H$7</f>
        <v>2492.063712</v>
      </c>
      <c r="R44" s="22" t="n">
        <f aca="false">R43*$H$7</f>
        <v>2713.13388</v>
      </c>
      <c r="S44" s="22" t="n">
        <f aca="false">S43*$H$7</f>
        <v>2838.35544369231</v>
      </c>
      <c r="T44" s="22" t="n">
        <f aca="false">T43*$H$7</f>
        <v>2744.05278461538</v>
      </c>
      <c r="U44" s="22" t="n">
        <f aca="false">U43*$H$7</f>
        <v>3088.79857107692</v>
      </c>
      <c r="V44" s="22" t="n">
        <f aca="false">V43*$H$7</f>
        <v>3094.982352</v>
      </c>
      <c r="W44" s="22" t="n">
        <f aca="false">W43*$H$7</f>
        <v>3339.24169846154</v>
      </c>
      <c r="X44" s="22" t="n">
        <f aca="false">X43*$H$7</f>
        <v>3336.149808</v>
      </c>
      <c r="Y44" s="22" t="n">
        <f aca="false">Y43*$H$7</f>
        <v>3589.68482584615</v>
      </c>
      <c r="Z44" s="22" t="n">
        <f aca="false">Z43*$H$7</f>
        <v>3714.90638953846</v>
      </c>
      <c r="AA44" s="22" t="n">
        <f aca="false">AA43*$H$7</f>
        <v>3697.900992</v>
      </c>
      <c r="AB44" s="22" t="n">
        <f aca="false">AB43*$H$7</f>
        <v>3965.34951692308</v>
      </c>
      <c r="AC44" s="22" t="n">
        <f aca="false">AC43*$H$7</f>
        <v>3939.068448</v>
      </c>
      <c r="AD44" s="22" t="n">
        <f aca="false">AD43*$H$7</f>
        <v>4215.79264430769</v>
      </c>
      <c r="AE44" s="22" t="n">
        <f aca="false">AE43*$H$7</f>
        <v>4341.014208</v>
      </c>
      <c r="AF44" s="22" t="n">
        <f aca="false">AF43*$H$7</f>
        <v>3969.98735261538</v>
      </c>
      <c r="AG44" s="22" t="n">
        <f aca="false">AG43*$H$7</f>
        <v>4591.45733538462</v>
      </c>
      <c r="AH44" s="22" t="n">
        <f aca="false">AH43*$H$7</f>
        <v>4541.987088</v>
      </c>
      <c r="AI44" s="22" t="n">
        <f aca="false">AI43*$H$7</f>
        <v>4841.90046276923</v>
      </c>
      <c r="AJ44" s="22" t="n">
        <f aca="false">AJ43*$H$7</f>
        <v>4783.154544</v>
      </c>
      <c r="AK44" s="22" t="n">
        <f aca="false">AK43*$H$7</f>
        <v>5092.34359015385</v>
      </c>
      <c r="AL44" s="22" t="n">
        <f aca="false">AL43*$H$7</f>
        <v>5217.56515384615</v>
      </c>
    </row>
    <row r="45" customFormat="false" ht="15" hidden="false" customHeight="false" outlineLevel="0" collapsed="false">
      <c r="A45" s="6" t="s">
        <v>496</v>
      </c>
      <c r="C45" s="22" t="n">
        <f aca="false">C43*$K$7</f>
        <v>150.5556504</v>
      </c>
      <c r="D45" s="22" t="n">
        <f aca="false">D43*$K$7</f>
        <v>179.798190189231</v>
      </c>
      <c r="E45" s="22" t="n">
        <f aca="false">E43*$K$7</f>
        <v>195.72234552</v>
      </c>
      <c r="F45" s="22" t="n">
        <f aca="false">F43*$K$7</f>
        <v>226.702065890769</v>
      </c>
      <c r="G45" s="22" t="n">
        <f aca="false">G43*$K$7</f>
        <v>250.154003741538</v>
      </c>
      <c r="H45" s="22" t="n">
        <f aca="false">H43*$K$7</f>
        <v>243.205281415385</v>
      </c>
      <c r="I45" s="22" t="n">
        <f aca="false">I43*$K$7</f>
        <v>297.057879443077</v>
      </c>
      <c r="J45" s="22" t="n">
        <f aca="false">J43*$K$7</f>
        <v>308.63908332</v>
      </c>
      <c r="K45" s="22" t="n">
        <f aca="false">K43*$K$7</f>
        <v>343.961755144615</v>
      </c>
      <c r="L45" s="22" t="n">
        <f aca="false">L43*$K$7</f>
        <v>353.80577844</v>
      </c>
      <c r="M45" s="22" t="n">
        <f aca="false">M43*$K$7</f>
        <v>390.865630846154</v>
      </c>
      <c r="N45" s="22" t="n">
        <f aca="false">N43*$K$7</f>
        <v>414.317568696923</v>
      </c>
      <c r="O45" s="22" t="n">
        <f aca="false">O43*$K$7</f>
        <v>421.55582112</v>
      </c>
      <c r="P45" s="22" t="n">
        <f aca="false">P43*$K$7</f>
        <v>461.221444398461</v>
      </c>
      <c r="Q45" s="22" t="n">
        <f aca="false">Q43*$K$7</f>
        <v>466.72251624</v>
      </c>
      <c r="R45" s="22" t="n">
        <f aca="false">R43*$K$7</f>
        <v>508.1253201</v>
      </c>
      <c r="S45" s="22" t="n">
        <f aca="false">S43*$K$7</f>
        <v>531.577257950769</v>
      </c>
      <c r="T45" s="22" t="n">
        <f aca="false">T43*$K$7</f>
        <v>513.915922038462</v>
      </c>
      <c r="U45" s="22" t="n">
        <f aca="false">U43*$K$7</f>
        <v>578.481133652308</v>
      </c>
      <c r="V45" s="22" t="n">
        <f aca="false">V43*$K$7</f>
        <v>579.63925404</v>
      </c>
      <c r="W45" s="22" t="n">
        <f aca="false">W43*$K$7</f>
        <v>625.385009353846</v>
      </c>
      <c r="X45" s="22" t="n">
        <f aca="false">X43*$K$7</f>
        <v>624.80594916</v>
      </c>
      <c r="Y45" s="22" t="n">
        <f aca="false">Y43*$K$7</f>
        <v>672.288885055385</v>
      </c>
      <c r="Z45" s="22" t="n">
        <f aca="false">Z43*$K$7</f>
        <v>695.740822906154</v>
      </c>
      <c r="AA45" s="22" t="n">
        <f aca="false">AA43*$K$7</f>
        <v>692.55599184</v>
      </c>
      <c r="AB45" s="22" t="n">
        <f aca="false">AB43*$K$7</f>
        <v>742.644698607692</v>
      </c>
      <c r="AC45" s="22" t="n">
        <f aca="false">AC43*$K$7</f>
        <v>737.72268696</v>
      </c>
      <c r="AD45" s="22" t="n">
        <f aca="false">AD43*$K$7</f>
        <v>789.548574309231</v>
      </c>
      <c r="AE45" s="22" t="n">
        <f aca="false">AE43*$K$7</f>
        <v>813.00051216</v>
      </c>
      <c r="AF45" s="22" t="n">
        <f aca="false">AF43*$K$7</f>
        <v>743.513288898462</v>
      </c>
      <c r="AG45" s="22" t="n">
        <f aca="false">AG43*$K$7</f>
        <v>859.904387861539</v>
      </c>
      <c r="AH45" s="22" t="n">
        <f aca="false">AH43*$K$7</f>
        <v>850.63942476</v>
      </c>
      <c r="AI45" s="22" t="n">
        <f aca="false">AI43*$K$7</f>
        <v>906.808263563077</v>
      </c>
      <c r="AJ45" s="22" t="n">
        <f aca="false">AJ43*$K$7</f>
        <v>895.80611988</v>
      </c>
      <c r="AK45" s="22" t="n">
        <f aca="false">AK43*$K$7</f>
        <v>953.712139264615</v>
      </c>
      <c r="AL45" s="22" t="n">
        <f aca="false">AL43*$K$7</f>
        <v>977.164077115385</v>
      </c>
    </row>
    <row r="46" customFormat="false" ht="15" hidden="false" customHeight="false" outlineLevel="0" collapsed="false">
      <c r="A46" s="6" t="s">
        <v>497</v>
      </c>
      <c r="C46" s="14" t="n">
        <f aca="false">C43*$L$7/60*$M$7</f>
        <v>0.53352</v>
      </c>
      <c r="D46" s="14" t="n">
        <f aca="false">D43*$L$7/60*$M$7</f>
        <v>0.637146</v>
      </c>
      <c r="E46" s="14" t="n">
        <f aca="false">E43*$L$7/60*$M$7</f>
        <v>0.693576</v>
      </c>
      <c r="F46" s="14" t="n">
        <f aca="false">F43*$L$7/60*$M$7</f>
        <v>0.803358</v>
      </c>
      <c r="G46" s="14" t="n">
        <f aca="false">G43*$L$7/60*$M$7</f>
        <v>0.886464</v>
      </c>
      <c r="H46" s="14" t="n">
        <f aca="false">H43*$L$7/60*$M$7</f>
        <v>0.86184</v>
      </c>
      <c r="I46" s="14" t="n">
        <f aca="false">I43*$L$7/60*$M$7</f>
        <v>1.052676</v>
      </c>
      <c r="J46" s="14" t="n">
        <f aca="false">J43*$L$7/60*$M$7</f>
        <v>1.093716</v>
      </c>
      <c r="K46" s="14" t="n">
        <f aca="false">K43*$L$7/60*$M$7</f>
        <v>1.218888</v>
      </c>
      <c r="L46" s="14" t="n">
        <f aca="false">L43*$L$7/60*$M$7</f>
        <v>1.253772</v>
      </c>
      <c r="M46" s="14" t="n">
        <f aca="false">M43*$L$7/60*$M$7</f>
        <v>1.3851</v>
      </c>
      <c r="N46" s="14" t="n">
        <f aca="false">N43*$L$7/60*$M$7</f>
        <v>1.468206</v>
      </c>
      <c r="O46" s="14" t="n">
        <f aca="false">O43*$L$7/60*$M$7</f>
        <v>1.493856</v>
      </c>
      <c r="P46" s="14" t="n">
        <f aca="false">P43*$L$7/60*$M$7</f>
        <v>1.634418</v>
      </c>
      <c r="Q46" s="14" t="n">
        <f aca="false">Q43*$L$7/60*$M$7</f>
        <v>1.653912</v>
      </c>
      <c r="R46" s="14" t="n">
        <f aca="false">R43*$L$7/60*$M$7</f>
        <v>1.80063</v>
      </c>
      <c r="S46" s="14" t="n">
        <f aca="false">S43*$L$7/60*$M$7</f>
        <v>1.883736</v>
      </c>
      <c r="T46" s="14" t="n">
        <f aca="false">T43*$L$7/60*$M$7</f>
        <v>1.82115</v>
      </c>
      <c r="U46" s="14" t="n">
        <f aca="false">U43*$L$7/60*$M$7</f>
        <v>2.049948</v>
      </c>
      <c r="V46" s="14" t="n">
        <f aca="false">V43*$L$7/60*$M$7</f>
        <v>2.054052</v>
      </c>
      <c r="W46" s="14" t="n">
        <f aca="false">W43*$L$7/60*$M$7</f>
        <v>2.21616</v>
      </c>
      <c r="X46" s="14" t="n">
        <f aca="false">X43*$L$7/60*$M$7</f>
        <v>2.214108</v>
      </c>
      <c r="Y46" s="14" t="n">
        <f aca="false">Y43*$L$7/60*$M$7</f>
        <v>2.382372</v>
      </c>
      <c r="Z46" s="14" t="n">
        <f aca="false">Z43*$L$7/60*$M$7</f>
        <v>2.465478</v>
      </c>
      <c r="AA46" s="14" t="n">
        <f aca="false">AA43*$L$7/60*$M$7</f>
        <v>2.454192</v>
      </c>
      <c r="AB46" s="14" t="n">
        <f aca="false">AB43*$L$7/60*$M$7</f>
        <v>2.63169</v>
      </c>
      <c r="AC46" s="14" t="n">
        <f aca="false">AC43*$L$7/60*$M$7</f>
        <v>2.614248</v>
      </c>
      <c r="AD46" s="14" t="n">
        <f aca="false">AD43*$L$7/60*$M$7</f>
        <v>2.797902</v>
      </c>
      <c r="AE46" s="14" t="n">
        <f aca="false">AE43*$L$7/60*$M$7</f>
        <v>2.881008</v>
      </c>
      <c r="AF46" s="14" t="n">
        <f aca="false">AF43*$L$7/60*$M$7</f>
        <v>2.634768</v>
      </c>
      <c r="AG46" s="14" t="n">
        <f aca="false">AG43*$L$7/60*$M$7</f>
        <v>3.04722</v>
      </c>
      <c r="AH46" s="14" t="n">
        <f aca="false">AH43*$L$7/60*$M$7</f>
        <v>3.014388</v>
      </c>
      <c r="AI46" s="14" t="n">
        <f aca="false">AI43*$L$7/60*$M$7</f>
        <v>3.213432</v>
      </c>
      <c r="AJ46" s="14" t="n">
        <f aca="false">AJ43*$L$7/60*$M$7</f>
        <v>3.174444</v>
      </c>
      <c r="AK46" s="14" t="n">
        <f aca="false">AK43*$L$7/60*$M$7</f>
        <v>3.379644</v>
      </c>
      <c r="AL46" s="14" t="n">
        <f aca="false">AL43*$L$7/60*$M$7</f>
        <v>3.46275</v>
      </c>
    </row>
    <row r="47" customFormat="false" ht="15" hidden="false" customHeight="false" outlineLevel="0" collapsed="false">
      <c r="A47" s="36" t="s">
        <v>475</v>
      </c>
    </row>
    <row r="48" customFormat="false" ht="15" hidden="false" customHeight="false" outlineLevel="0" collapsed="false">
      <c r="A48" s="6" t="s">
        <v>493</v>
      </c>
      <c r="C48" s="14" t="n">
        <f aca="false">C$27*$N$8</f>
        <v>1.7784</v>
      </c>
      <c r="D48" s="14" t="n">
        <f aca="false">D$27*$N$8</f>
        <v>2.12382</v>
      </c>
      <c r="E48" s="14" t="n">
        <f aca="false">E$27*$N$8</f>
        <v>2.31192</v>
      </c>
      <c r="F48" s="14" t="n">
        <f aca="false">F$27*$N$8</f>
        <v>2.67786</v>
      </c>
      <c r="G48" s="14" t="n">
        <f aca="false">G$27*$N$8</f>
        <v>2.95488</v>
      </c>
      <c r="H48" s="14" t="n">
        <f aca="false">H$27*$N$8</f>
        <v>2.8728</v>
      </c>
      <c r="I48" s="14" t="n">
        <f aca="false">I$27*$N$8</f>
        <v>3.50892</v>
      </c>
      <c r="J48" s="14" t="n">
        <f aca="false">J$27*$N$8</f>
        <v>3.64572</v>
      </c>
      <c r="K48" s="14" t="n">
        <f aca="false">K$27*$N$8</f>
        <v>4.06296</v>
      </c>
      <c r="L48" s="14" t="n">
        <f aca="false">L$27*$N$8</f>
        <v>4.17924</v>
      </c>
      <c r="M48" s="14" t="n">
        <f aca="false">M$27*$N$8</f>
        <v>4.617</v>
      </c>
      <c r="N48" s="14" t="n">
        <f aca="false">N$27*$N$8</f>
        <v>4.89402</v>
      </c>
      <c r="O48" s="14" t="n">
        <f aca="false">O$27*$N$8</f>
        <v>4.97952</v>
      </c>
      <c r="P48" s="14" t="n">
        <f aca="false">P$27*$N$8</f>
        <v>5.44806</v>
      </c>
      <c r="Q48" s="14" t="n">
        <f aca="false">Q$27*$N$8</f>
        <v>5.51304</v>
      </c>
      <c r="R48" s="14" t="n">
        <f aca="false">R$27*$N$8</f>
        <v>6.0021</v>
      </c>
      <c r="S48" s="14" t="n">
        <f aca="false">S$27*$N$8</f>
        <v>6.27912</v>
      </c>
      <c r="T48" s="14" t="n">
        <f aca="false">T$27*$N$8</f>
        <v>6.0705</v>
      </c>
      <c r="U48" s="14" t="n">
        <f aca="false">U$27*$N$8</f>
        <v>6.83316</v>
      </c>
      <c r="V48" s="14" t="n">
        <f aca="false">V$27*$N$8</f>
        <v>6.84684</v>
      </c>
      <c r="W48" s="14" t="n">
        <f aca="false">W$27*$N$8</f>
        <v>7.3872</v>
      </c>
      <c r="X48" s="14" t="n">
        <f aca="false">X$27*$N$8</f>
        <v>7.38036</v>
      </c>
      <c r="Y48" s="14" t="n">
        <f aca="false">Y$27*$N$8</f>
        <v>7.94124</v>
      </c>
      <c r="Z48" s="14" t="n">
        <f aca="false">Z$27*$N$8</f>
        <v>8.21826</v>
      </c>
      <c r="AA48" s="14" t="n">
        <f aca="false">AA$27*$N$8</f>
        <v>8.18064</v>
      </c>
      <c r="AB48" s="14" t="n">
        <f aca="false">AB$27*$N$8</f>
        <v>8.7723</v>
      </c>
      <c r="AC48" s="14" t="n">
        <f aca="false">AC$27*$N$8</f>
        <v>8.71416</v>
      </c>
      <c r="AD48" s="14" t="n">
        <f aca="false">AD$27*$N$8</f>
        <v>9.32634</v>
      </c>
      <c r="AE48" s="14" t="n">
        <f aca="false">AE$27*$N$8</f>
        <v>9.60336</v>
      </c>
      <c r="AF48" s="14" t="n">
        <f aca="false">AF$27*$N$8</f>
        <v>8.78256</v>
      </c>
      <c r="AG48" s="14" t="n">
        <f aca="false">AG$27*$N$8</f>
        <v>10.1574</v>
      </c>
      <c r="AH48" s="14" t="n">
        <f aca="false">AH$27*$N$8</f>
        <v>10.04796</v>
      </c>
      <c r="AI48" s="14" t="n">
        <f aca="false">AI$27*$N$8</f>
        <v>10.71144</v>
      </c>
      <c r="AJ48" s="14" t="n">
        <f aca="false">AJ$27*$N$8</f>
        <v>10.58148</v>
      </c>
      <c r="AK48" s="14" t="n">
        <f aca="false">AK$27*$N$8</f>
        <v>11.26548</v>
      </c>
      <c r="AL48" s="14" t="n">
        <f aca="false">AL$27*$N$8</f>
        <v>11.5425</v>
      </c>
    </row>
    <row r="49" customFormat="false" ht="15" hidden="false" customHeight="false" outlineLevel="0" collapsed="false">
      <c r="A49" s="6" t="s">
        <v>494</v>
      </c>
      <c r="C49" s="14" t="n">
        <f aca="false">IF($E$8=0,0,C48*60/$E$8)</f>
        <v>1.7784</v>
      </c>
      <c r="D49" s="14" t="n">
        <f aca="false">IF($E$8=0,0,D48*60/$E$8)</f>
        <v>2.12382</v>
      </c>
      <c r="E49" s="14" t="n">
        <f aca="false">IF($E$8=0,0,E48*60/$E$8)</f>
        <v>2.31192</v>
      </c>
      <c r="F49" s="14" t="n">
        <f aca="false">IF($E$8=0,0,F48*60/$E$8)</f>
        <v>2.67786</v>
      </c>
      <c r="G49" s="14" t="n">
        <f aca="false">IF($E$8=0,0,G48*60/$E$8)</f>
        <v>2.95488</v>
      </c>
      <c r="H49" s="14" t="n">
        <f aca="false">IF($E$8=0,0,H48*60/$E$8)</f>
        <v>2.8728</v>
      </c>
      <c r="I49" s="14" t="n">
        <f aca="false">IF($E$8=0,0,I48*60/$E$8)</f>
        <v>3.50892</v>
      </c>
      <c r="J49" s="14" t="n">
        <f aca="false">IF($E$8=0,0,J48*60/$E$8)</f>
        <v>3.64572</v>
      </c>
      <c r="K49" s="14" t="n">
        <f aca="false">IF($E$8=0,0,K48*60/$E$8)</f>
        <v>4.06296</v>
      </c>
      <c r="L49" s="14" t="n">
        <f aca="false">IF($E$8=0,0,L48*60/$E$8)</f>
        <v>4.17924</v>
      </c>
      <c r="M49" s="14" t="n">
        <f aca="false">IF($E$8=0,0,M48*60/$E$8)</f>
        <v>4.617</v>
      </c>
      <c r="N49" s="14" t="n">
        <f aca="false">IF($E$8=0,0,N48*60/$E$8)</f>
        <v>4.89402</v>
      </c>
      <c r="O49" s="14" t="n">
        <f aca="false">IF($E$8=0,0,O48*60/$E$8)</f>
        <v>4.97952</v>
      </c>
      <c r="P49" s="14" t="n">
        <f aca="false">IF($E$8=0,0,P48*60/$E$8)</f>
        <v>5.44806</v>
      </c>
      <c r="Q49" s="14" t="n">
        <f aca="false">IF($E$8=0,0,Q48*60/$E$8)</f>
        <v>5.51304</v>
      </c>
      <c r="R49" s="14" t="n">
        <f aca="false">IF($E$8=0,0,R48*60/$E$8)</f>
        <v>6.0021</v>
      </c>
      <c r="S49" s="14" t="n">
        <f aca="false">IF($E$8=0,0,S48*60/$E$8)</f>
        <v>6.27912</v>
      </c>
      <c r="T49" s="14" t="n">
        <f aca="false">IF($E$8=0,0,T48*60/$E$8)</f>
        <v>6.0705</v>
      </c>
      <c r="U49" s="14" t="n">
        <f aca="false">IF($E$8=0,0,U48*60/$E$8)</f>
        <v>6.83316</v>
      </c>
      <c r="V49" s="14" t="n">
        <f aca="false">IF($E$8=0,0,V48*60/$E$8)</f>
        <v>6.84684</v>
      </c>
      <c r="W49" s="14" t="n">
        <f aca="false">IF($E$8=0,0,W48*60/$E$8)</f>
        <v>7.3872</v>
      </c>
      <c r="X49" s="14" t="n">
        <f aca="false">IF($E$8=0,0,X48*60/$E$8)</f>
        <v>7.38036</v>
      </c>
      <c r="Y49" s="14" t="n">
        <f aca="false">IF($E$8=0,0,Y48*60/$E$8)</f>
        <v>7.94124</v>
      </c>
      <c r="Z49" s="14" t="n">
        <f aca="false">IF($E$8=0,0,Z48*60/$E$8)</f>
        <v>8.21826</v>
      </c>
      <c r="AA49" s="14" t="n">
        <f aca="false">IF($E$8=0,0,AA48*60/$E$8)</f>
        <v>8.18064</v>
      </c>
      <c r="AB49" s="14" t="n">
        <f aca="false">IF($E$8=0,0,AB48*60/$E$8)</f>
        <v>8.7723</v>
      </c>
      <c r="AC49" s="14" t="n">
        <f aca="false">IF($E$8=0,0,AC48*60/$E$8)</f>
        <v>8.71416</v>
      </c>
      <c r="AD49" s="14" t="n">
        <f aca="false">IF($E$8=0,0,AD48*60/$E$8)</f>
        <v>9.32634</v>
      </c>
      <c r="AE49" s="14" t="n">
        <f aca="false">IF($E$8=0,0,AE48*60/$E$8)</f>
        <v>9.60336</v>
      </c>
      <c r="AF49" s="14" t="n">
        <f aca="false">IF($E$8=0,0,AF48*60/$E$8)</f>
        <v>8.78256</v>
      </c>
      <c r="AG49" s="14" t="n">
        <f aca="false">IF($E$8=0,0,AG48*60/$E$8)</f>
        <v>10.1574</v>
      </c>
      <c r="AH49" s="14" t="n">
        <f aca="false">IF($E$8=0,0,AH48*60/$E$8)</f>
        <v>10.04796</v>
      </c>
      <c r="AI49" s="14" t="n">
        <f aca="false">IF($E$8=0,0,AI48*60/$E$8)</f>
        <v>10.71144</v>
      </c>
      <c r="AJ49" s="14" t="n">
        <f aca="false">IF($E$8=0,0,AJ48*60/$E$8)</f>
        <v>10.58148</v>
      </c>
      <c r="AK49" s="14" t="n">
        <f aca="false">IF($E$8=0,0,AK48*60/$E$8)</f>
        <v>11.26548</v>
      </c>
      <c r="AL49" s="14" t="n">
        <f aca="false">IF($E$8=0,0,AL48*60/$E$8)</f>
        <v>11.5425</v>
      </c>
    </row>
    <row r="50" customFormat="false" ht="15" hidden="false" customHeight="false" outlineLevel="0" collapsed="false">
      <c r="A50" s="6" t="s">
        <v>495</v>
      </c>
      <c r="C50" s="22" t="n">
        <f aca="false">C49*$H$8</f>
        <v>462.384</v>
      </c>
      <c r="D50" s="22" t="n">
        <f aca="false">D49*$H$8</f>
        <v>552.1932</v>
      </c>
      <c r="E50" s="22" t="n">
        <f aca="false">E49*$H$8</f>
        <v>601.0992</v>
      </c>
      <c r="F50" s="22" t="n">
        <f aca="false">F49*$H$8</f>
        <v>696.2436</v>
      </c>
      <c r="G50" s="22" t="n">
        <f aca="false">G49*$H$8</f>
        <v>768.2688</v>
      </c>
      <c r="H50" s="22" t="n">
        <f aca="false">H49*$H$8</f>
        <v>746.928</v>
      </c>
      <c r="I50" s="22" t="n">
        <f aca="false">I49*$H$8</f>
        <v>912.3192</v>
      </c>
      <c r="J50" s="22" t="n">
        <f aca="false">J49*$H$8</f>
        <v>947.8872</v>
      </c>
      <c r="K50" s="22" t="n">
        <f aca="false">K49*$H$8</f>
        <v>1056.3696</v>
      </c>
      <c r="L50" s="22" t="n">
        <f aca="false">L49*$H$8</f>
        <v>1086.6024</v>
      </c>
      <c r="M50" s="22" t="n">
        <f aca="false">M49*$H$8</f>
        <v>1200.42</v>
      </c>
      <c r="N50" s="22" t="n">
        <f aca="false">N49*$H$8</f>
        <v>1272.4452</v>
      </c>
      <c r="O50" s="22" t="n">
        <f aca="false">O49*$H$8</f>
        <v>1294.6752</v>
      </c>
      <c r="P50" s="22" t="n">
        <f aca="false">P49*$H$8</f>
        <v>1416.4956</v>
      </c>
      <c r="Q50" s="22" t="n">
        <f aca="false">Q49*$H$8</f>
        <v>1433.3904</v>
      </c>
      <c r="R50" s="22" t="n">
        <f aca="false">R49*$H$8</f>
        <v>1560.546</v>
      </c>
      <c r="S50" s="22" t="n">
        <f aca="false">S49*$H$8</f>
        <v>1632.5712</v>
      </c>
      <c r="T50" s="22" t="n">
        <f aca="false">T49*$H$8</f>
        <v>1578.33</v>
      </c>
      <c r="U50" s="22" t="n">
        <f aca="false">U49*$H$8</f>
        <v>1776.6216</v>
      </c>
      <c r="V50" s="22" t="n">
        <f aca="false">V49*$H$8</f>
        <v>1780.1784</v>
      </c>
      <c r="W50" s="22" t="n">
        <f aca="false">W49*$H$8</f>
        <v>1920.672</v>
      </c>
      <c r="X50" s="22" t="n">
        <f aca="false">X49*$H$8</f>
        <v>1918.8936</v>
      </c>
      <c r="Y50" s="22" t="n">
        <f aca="false">Y49*$H$8</f>
        <v>2064.7224</v>
      </c>
      <c r="Z50" s="22" t="n">
        <f aca="false">Z49*$H$8</f>
        <v>2136.7476</v>
      </c>
      <c r="AA50" s="22" t="n">
        <f aca="false">AA49*$H$8</f>
        <v>2126.9664</v>
      </c>
      <c r="AB50" s="22" t="n">
        <f aca="false">AB49*$H$8</f>
        <v>2280.798</v>
      </c>
      <c r="AC50" s="22" t="n">
        <f aca="false">AC49*$H$8</f>
        <v>2265.6816</v>
      </c>
      <c r="AD50" s="22" t="n">
        <f aca="false">AD49*$H$8</f>
        <v>2424.8484</v>
      </c>
      <c r="AE50" s="22" t="n">
        <f aca="false">AE49*$H$8</f>
        <v>2496.8736</v>
      </c>
      <c r="AF50" s="22" t="n">
        <f aca="false">AF49*$H$8</f>
        <v>2283.4656</v>
      </c>
      <c r="AG50" s="22" t="n">
        <f aca="false">AG49*$H$8</f>
        <v>2640.924</v>
      </c>
      <c r="AH50" s="22" t="n">
        <f aca="false">AH49*$H$8</f>
        <v>2612.4696</v>
      </c>
      <c r="AI50" s="22" t="n">
        <f aca="false">AI49*$H$8</f>
        <v>2784.9744</v>
      </c>
      <c r="AJ50" s="22" t="n">
        <f aca="false">AJ49*$H$8</f>
        <v>2751.1848</v>
      </c>
      <c r="AK50" s="22" t="n">
        <f aca="false">AK49*$H$8</f>
        <v>2929.0248</v>
      </c>
      <c r="AL50" s="22" t="n">
        <f aca="false">AL49*$H$8</f>
        <v>3001.05</v>
      </c>
    </row>
    <row r="51" customFormat="false" ht="15" hidden="false" customHeight="false" outlineLevel="0" collapsed="false">
      <c r="A51" s="6" t="s">
        <v>496</v>
      </c>
      <c r="C51" s="22" t="n">
        <f aca="false">C49*$K$8</f>
        <v>42.625284</v>
      </c>
      <c r="D51" s="22" t="n">
        <f aca="false">D49*$K$8</f>
        <v>50.9044257</v>
      </c>
      <c r="E51" s="22" t="n">
        <f aca="false">E49*$K$8</f>
        <v>55.4128692</v>
      </c>
      <c r="F51" s="22" t="n">
        <f aca="false">F49*$K$8</f>
        <v>64.1838411</v>
      </c>
      <c r="G51" s="22" t="n">
        <f aca="false">G49*$K$8</f>
        <v>70.8235488</v>
      </c>
      <c r="H51" s="22" t="n">
        <f aca="false">H49*$K$8</f>
        <v>68.856228</v>
      </c>
      <c r="I51" s="22" t="n">
        <f aca="false">I49*$K$8</f>
        <v>84.1029642</v>
      </c>
      <c r="J51" s="22" t="n">
        <f aca="false">J49*$K$8</f>
        <v>87.3818322</v>
      </c>
      <c r="K51" s="22" t="n">
        <f aca="false">K49*$K$8</f>
        <v>97.3823796</v>
      </c>
      <c r="L51" s="22" t="n">
        <f aca="false">L49*$K$8</f>
        <v>100.1694174</v>
      </c>
      <c r="M51" s="22" t="n">
        <f aca="false">M49*$K$8</f>
        <v>110.661795</v>
      </c>
      <c r="N51" s="22" t="n">
        <f aca="false">N49*$K$8</f>
        <v>117.3015027</v>
      </c>
      <c r="O51" s="22" t="n">
        <f aca="false">O49*$K$8</f>
        <v>119.3507952</v>
      </c>
      <c r="P51" s="22" t="n">
        <f aca="false">P49*$K$8</f>
        <v>130.5809181</v>
      </c>
      <c r="Q51" s="22" t="n">
        <f aca="false">Q49*$K$8</f>
        <v>132.1383804</v>
      </c>
      <c r="R51" s="22" t="n">
        <f aca="false">R49*$K$8</f>
        <v>143.8603335</v>
      </c>
      <c r="S51" s="22" t="n">
        <f aca="false">S49*$K$8</f>
        <v>150.5000412</v>
      </c>
      <c r="T51" s="22" t="n">
        <f aca="false">T49*$K$8</f>
        <v>145.4997675</v>
      </c>
      <c r="U51" s="22" t="n">
        <f aca="false">U49*$K$8</f>
        <v>163.7794566</v>
      </c>
      <c r="V51" s="22" t="n">
        <f aca="false">V49*$K$8</f>
        <v>164.1073434</v>
      </c>
      <c r="W51" s="22" t="n">
        <f aca="false">W49*$K$8</f>
        <v>177.058872</v>
      </c>
      <c r="X51" s="22" t="n">
        <f aca="false">X49*$K$8</f>
        <v>176.8949286</v>
      </c>
      <c r="Y51" s="22" t="n">
        <f aca="false">Y49*$K$8</f>
        <v>190.3382874</v>
      </c>
      <c r="Z51" s="22" t="n">
        <f aca="false">Z49*$K$8</f>
        <v>196.9779951</v>
      </c>
      <c r="AA51" s="22" t="n">
        <f aca="false">AA49*$K$8</f>
        <v>196.0763064</v>
      </c>
      <c r="AB51" s="22" t="n">
        <f aca="false">AB49*$K$8</f>
        <v>210.2574105</v>
      </c>
      <c r="AC51" s="22" t="n">
        <f aca="false">AC49*$K$8</f>
        <v>208.8638916</v>
      </c>
      <c r="AD51" s="22" t="n">
        <f aca="false">AD49*$K$8</f>
        <v>223.5368259</v>
      </c>
      <c r="AE51" s="22" t="n">
        <f aca="false">AE49*$K$8</f>
        <v>230.1765336</v>
      </c>
      <c r="AF51" s="22" t="n">
        <f aca="false">AF49*$K$8</f>
        <v>210.5033256</v>
      </c>
      <c r="AG51" s="22" t="n">
        <f aca="false">AG49*$K$8</f>
        <v>243.455949</v>
      </c>
      <c r="AH51" s="22" t="n">
        <f aca="false">AH49*$K$8</f>
        <v>240.8328546</v>
      </c>
      <c r="AI51" s="22" t="n">
        <f aca="false">AI49*$K$8</f>
        <v>256.7353644</v>
      </c>
      <c r="AJ51" s="22" t="n">
        <f aca="false">AJ49*$K$8</f>
        <v>253.6204398</v>
      </c>
      <c r="AK51" s="22" t="n">
        <f aca="false">AK49*$K$8</f>
        <v>270.0147798</v>
      </c>
      <c r="AL51" s="22" t="n">
        <f aca="false">AL49*$K$8</f>
        <v>276.6544875</v>
      </c>
    </row>
    <row r="52" customFormat="false" ht="15" hidden="false" customHeight="false" outlineLevel="0" collapsed="false">
      <c r="A52" s="6" t="s">
        <v>497</v>
      </c>
      <c r="C52" s="14" t="n">
        <f aca="false">C49*$L$8/60*$M$8</f>
        <v>0.8892</v>
      </c>
      <c r="D52" s="14" t="n">
        <f aca="false">D49*$L$8/60*$M$8</f>
        <v>1.06191</v>
      </c>
      <c r="E52" s="14" t="n">
        <f aca="false">E49*$L$8/60*$M$8</f>
        <v>1.15596</v>
      </c>
      <c r="F52" s="14" t="n">
        <f aca="false">F49*$L$8/60*$M$8</f>
        <v>1.33893</v>
      </c>
      <c r="G52" s="14" t="n">
        <f aca="false">G49*$L$8/60*$M$8</f>
        <v>1.47744</v>
      </c>
      <c r="H52" s="14" t="n">
        <f aca="false">H49*$L$8/60*$M$8</f>
        <v>1.4364</v>
      </c>
      <c r="I52" s="14" t="n">
        <f aca="false">I49*$L$8/60*$M$8</f>
        <v>1.75446</v>
      </c>
      <c r="J52" s="14" t="n">
        <f aca="false">J49*$L$8/60*$M$8</f>
        <v>1.82286</v>
      </c>
      <c r="K52" s="14" t="n">
        <f aca="false">K49*$L$8/60*$M$8</f>
        <v>2.03148</v>
      </c>
      <c r="L52" s="14" t="n">
        <f aca="false">L49*$L$8/60*$M$8</f>
        <v>2.08962</v>
      </c>
      <c r="M52" s="14" t="n">
        <f aca="false">M49*$L$8/60*$M$8</f>
        <v>2.3085</v>
      </c>
      <c r="N52" s="14" t="n">
        <f aca="false">N49*$L$8/60*$M$8</f>
        <v>2.44701</v>
      </c>
      <c r="O52" s="14" t="n">
        <f aca="false">O49*$L$8/60*$M$8</f>
        <v>2.48976</v>
      </c>
      <c r="P52" s="14" t="n">
        <f aca="false">P49*$L$8/60*$M$8</f>
        <v>2.72403</v>
      </c>
      <c r="Q52" s="14" t="n">
        <f aca="false">Q49*$L$8/60*$M$8</f>
        <v>2.75652</v>
      </c>
      <c r="R52" s="14" t="n">
        <f aca="false">R49*$L$8/60*$M$8</f>
        <v>3.00105</v>
      </c>
      <c r="S52" s="14" t="n">
        <f aca="false">S49*$L$8/60*$M$8</f>
        <v>3.13956</v>
      </c>
      <c r="T52" s="14" t="n">
        <f aca="false">T49*$L$8/60*$M$8</f>
        <v>3.03525</v>
      </c>
      <c r="U52" s="14" t="n">
        <f aca="false">U49*$L$8/60*$M$8</f>
        <v>3.41658</v>
      </c>
      <c r="V52" s="14" t="n">
        <f aca="false">V49*$L$8/60*$M$8</f>
        <v>3.42342</v>
      </c>
      <c r="W52" s="14" t="n">
        <f aca="false">W49*$L$8/60*$M$8</f>
        <v>3.6936</v>
      </c>
      <c r="X52" s="14" t="n">
        <f aca="false">X49*$L$8/60*$M$8</f>
        <v>3.69018</v>
      </c>
      <c r="Y52" s="14" t="n">
        <f aca="false">Y49*$L$8/60*$M$8</f>
        <v>3.97062</v>
      </c>
      <c r="Z52" s="14" t="n">
        <f aca="false">Z49*$L$8/60*$M$8</f>
        <v>4.10913</v>
      </c>
      <c r="AA52" s="14" t="n">
        <f aca="false">AA49*$L$8/60*$M$8</f>
        <v>4.09032</v>
      </c>
      <c r="AB52" s="14" t="n">
        <f aca="false">AB49*$L$8/60*$M$8</f>
        <v>4.38615</v>
      </c>
      <c r="AC52" s="14" t="n">
        <f aca="false">AC49*$L$8/60*$M$8</f>
        <v>4.35708</v>
      </c>
      <c r="AD52" s="14" t="n">
        <f aca="false">AD49*$L$8/60*$M$8</f>
        <v>4.66317</v>
      </c>
      <c r="AE52" s="14" t="n">
        <f aca="false">AE49*$L$8/60*$M$8</f>
        <v>4.80168</v>
      </c>
      <c r="AF52" s="14" t="n">
        <f aca="false">AF49*$L$8/60*$M$8</f>
        <v>4.39128</v>
      </c>
      <c r="AG52" s="14" t="n">
        <f aca="false">AG49*$L$8/60*$M$8</f>
        <v>5.0787</v>
      </c>
      <c r="AH52" s="14" t="n">
        <f aca="false">AH49*$L$8/60*$M$8</f>
        <v>5.02398</v>
      </c>
      <c r="AI52" s="14" t="n">
        <f aca="false">AI49*$L$8/60*$M$8</f>
        <v>5.35572</v>
      </c>
      <c r="AJ52" s="14" t="n">
        <f aca="false">AJ49*$L$8/60*$M$8</f>
        <v>5.29074</v>
      </c>
      <c r="AK52" s="14" t="n">
        <f aca="false">AK49*$L$8/60*$M$8</f>
        <v>5.63274</v>
      </c>
      <c r="AL52" s="14" t="n">
        <f aca="false">AL49*$L$8/60*$M$8</f>
        <v>5.77125</v>
      </c>
    </row>
    <row r="53" customFormat="false" ht="15" hidden="false" customHeight="false" outlineLevel="0" collapsed="false">
      <c r="A53" s="36" t="s">
        <v>476</v>
      </c>
    </row>
    <row r="54" customFormat="false" ht="15" hidden="false" customHeight="false" outlineLevel="0" collapsed="false">
      <c r="A54" s="6" t="s">
        <v>493</v>
      </c>
      <c r="C54" s="14" t="n">
        <f aca="false">C$27*$N$9</f>
        <v>9.7812</v>
      </c>
      <c r="D54" s="14" t="n">
        <f aca="false">D$27*$N$9</f>
        <v>11.68101</v>
      </c>
      <c r="E54" s="14" t="n">
        <f aca="false">E$27*$N$9</f>
        <v>12.71556</v>
      </c>
      <c r="F54" s="14" t="n">
        <f aca="false">F$27*$N$9</f>
        <v>14.72823</v>
      </c>
      <c r="G54" s="14" t="n">
        <f aca="false">G$27*$N$9</f>
        <v>16.25184</v>
      </c>
      <c r="H54" s="14" t="n">
        <f aca="false">H$27*$N$9</f>
        <v>15.8004</v>
      </c>
      <c r="I54" s="14" t="n">
        <f aca="false">I$27*$N$9</f>
        <v>19.29906</v>
      </c>
      <c r="J54" s="14" t="n">
        <f aca="false">J$27*$N$9</f>
        <v>20.05146</v>
      </c>
      <c r="K54" s="14" t="n">
        <f aca="false">K$27*$N$9</f>
        <v>22.34628</v>
      </c>
      <c r="L54" s="14" t="n">
        <f aca="false">L$27*$N$9</f>
        <v>22.98582</v>
      </c>
      <c r="M54" s="14" t="n">
        <f aca="false">M$27*$N$9</f>
        <v>25.3935</v>
      </c>
      <c r="N54" s="14" t="n">
        <f aca="false">N$27*$N$9</f>
        <v>26.91711</v>
      </c>
      <c r="O54" s="14" t="n">
        <f aca="false">O$27*$N$9</f>
        <v>27.38736</v>
      </c>
      <c r="P54" s="14" t="n">
        <f aca="false">P$27*$N$9</f>
        <v>29.96433</v>
      </c>
      <c r="Q54" s="14" t="n">
        <f aca="false">Q$27*$N$9</f>
        <v>30.32172</v>
      </c>
      <c r="R54" s="14" t="n">
        <f aca="false">R$27*$N$9</f>
        <v>33.01155</v>
      </c>
      <c r="S54" s="14" t="n">
        <f aca="false">S$27*$N$9</f>
        <v>34.53516</v>
      </c>
      <c r="T54" s="14" t="n">
        <f aca="false">T$27*$N$9</f>
        <v>33.38775</v>
      </c>
      <c r="U54" s="14" t="n">
        <f aca="false">U$27*$N$9</f>
        <v>37.58238</v>
      </c>
      <c r="V54" s="14" t="n">
        <f aca="false">V$27*$N$9</f>
        <v>37.65762</v>
      </c>
      <c r="W54" s="14" t="n">
        <f aca="false">W$27*$N$9</f>
        <v>40.6296</v>
      </c>
      <c r="X54" s="14" t="n">
        <f aca="false">X$27*$N$9</f>
        <v>40.59198</v>
      </c>
      <c r="Y54" s="14" t="n">
        <f aca="false">Y$27*$N$9</f>
        <v>43.67682</v>
      </c>
      <c r="Z54" s="14" t="n">
        <f aca="false">Z$27*$N$9</f>
        <v>45.20043</v>
      </c>
      <c r="AA54" s="14" t="n">
        <f aca="false">AA$27*$N$9</f>
        <v>44.99352</v>
      </c>
      <c r="AB54" s="14" t="n">
        <f aca="false">AB$27*$N$9</f>
        <v>48.24765</v>
      </c>
      <c r="AC54" s="14" t="n">
        <f aca="false">AC$27*$N$9</f>
        <v>47.92788</v>
      </c>
      <c r="AD54" s="14" t="n">
        <f aca="false">AD$27*$N$9</f>
        <v>51.29487</v>
      </c>
      <c r="AE54" s="14" t="n">
        <f aca="false">AE$27*$N$9</f>
        <v>52.81848</v>
      </c>
      <c r="AF54" s="14" t="n">
        <f aca="false">AF$27*$N$9</f>
        <v>48.30408</v>
      </c>
      <c r="AG54" s="14" t="n">
        <f aca="false">AG$27*$N$9</f>
        <v>55.8657</v>
      </c>
      <c r="AH54" s="14" t="n">
        <f aca="false">AH$27*$N$9</f>
        <v>55.26378</v>
      </c>
      <c r="AI54" s="14" t="n">
        <f aca="false">AI$27*$N$9</f>
        <v>58.91292</v>
      </c>
      <c r="AJ54" s="14" t="n">
        <f aca="false">AJ$27*$N$9</f>
        <v>58.19814</v>
      </c>
      <c r="AK54" s="14" t="n">
        <f aca="false">AK$27*$N$9</f>
        <v>61.96014</v>
      </c>
      <c r="AL54" s="14" t="n">
        <f aca="false">AL$27*$N$9</f>
        <v>63.48375</v>
      </c>
    </row>
    <row r="55" customFormat="false" ht="15" hidden="false" customHeight="false" outlineLevel="0" collapsed="false">
      <c r="A55" s="6" t="s">
        <v>494</v>
      </c>
      <c r="C55" s="14" t="n">
        <f aca="false">IF($E$9=0,0,C54*60/$E$9)</f>
        <v>8.90426482758621</v>
      </c>
      <c r="D55" s="14" t="n">
        <f aca="false">IF($E$9=0,0,D54*60/$E$9)</f>
        <v>10.6337470344828</v>
      </c>
      <c r="E55" s="14" t="n">
        <f aca="false">IF($E$9=0,0,E54*60/$E$9)</f>
        <v>11.5755442758621</v>
      </c>
      <c r="F55" s="14" t="n">
        <f aca="false">IF($E$9=0,0,F54*60/$E$9)</f>
        <v>13.407768</v>
      </c>
      <c r="G55" s="14" t="n">
        <f aca="false">IF($E$9=0,0,G54*60/$E$9)</f>
        <v>14.7947784827586</v>
      </c>
      <c r="H55" s="14" t="n">
        <f aca="false">IF($E$9=0,0,H54*60/$E$9)</f>
        <v>14.3838124137931</v>
      </c>
      <c r="I55" s="14" t="n">
        <f aca="false">IF($E$9=0,0,I54*60/$E$9)</f>
        <v>17.5687994482759</v>
      </c>
      <c r="J55" s="14" t="n">
        <f aca="false">IF($E$9=0,0,J54*60/$E$9)</f>
        <v>18.2537428965517</v>
      </c>
      <c r="K55" s="14" t="n">
        <f aca="false">IF($E$9=0,0,K54*60/$E$9)</f>
        <v>20.3428204137931</v>
      </c>
      <c r="L55" s="14" t="n">
        <f aca="false">IF($E$9=0,0,L54*60/$E$9)</f>
        <v>20.9250223448276</v>
      </c>
      <c r="M55" s="14" t="n">
        <f aca="false">IF($E$9=0,0,M54*60/$E$9)</f>
        <v>23.1168413793103</v>
      </c>
      <c r="N55" s="14" t="n">
        <f aca="false">IF($E$9=0,0,N54*60/$E$9)</f>
        <v>24.503851862069</v>
      </c>
      <c r="O55" s="14" t="n">
        <f aca="false">IF($E$9=0,0,O54*60/$E$9)</f>
        <v>24.9319415172414</v>
      </c>
      <c r="P55" s="14" t="n">
        <f aca="false">IF($E$9=0,0,P54*60/$E$9)</f>
        <v>27.2778728275862</v>
      </c>
      <c r="Q55" s="14" t="n">
        <f aca="false">IF($E$9=0,0,Q54*60/$E$9)</f>
        <v>27.6032209655172</v>
      </c>
      <c r="R55" s="14" t="n">
        <f aca="false">IF($E$9=0,0,R54*60/$E$9)</f>
        <v>30.0518937931035</v>
      </c>
      <c r="S55" s="14" t="n">
        <f aca="false">IF($E$9=0,0,S54*60/$E$9)</f>
        <v>31.4389042758621</v>
      </c>
      <c r="T55" s="14" t="n">
        <f aca="false">IF($E$9=0,0,T54*60/$E$9)</f>
        <v>30.3943655172414</v>
      </c>
      <c r="U55" s="14" t="n">
        <f aca="false">IF($E$9=0,0,U54*60/$E$9)</f>
        <v>34.2129252413793</v>
      </c>
      <c r="V55" s="14" t="n">
        <f aca="false">IF($E$9=0,0,V54*60/$E$9)</f>
        <v>34.2814195862069</v>
      </c>
      <c r="W55" s="14" t="n">
        <f aca="false">IF($E$9=0,0,W54*60/$E$9)</f>
        <v>36.9869462068966</v>
      </c>
      <c r="X55" s="14" t="n">
        <f aca="false">IF($E$9=0,0,X54*60/$E$9)</f>
        <v>36.9526990344828</v>
      </c>
      <c r="Y55" s="14" t="n">
        <f aca="false">IF($E$9=0,0,Y54*60/$E$9)</f>
        <v>39.7609671724138</v>
      </c>
      <c r="Z55" s="14" t="n">
        <f aca="false">IF($E$9=0,0,Z54*60/$E$9)</f>
        <v>41.1479776551724</v>
      </c>
      <c r="AA55" s="14" t="n">
        <f aca="false">IF($E$9=0,0,AA54*60/$E$9)</f>
        <v>40.9596182068966</v>
      </c>
      <c r="AB55" s="14" t="n">
        <f aca="false">IF($E$9=0,0,AB54*60/$E$9)</f>
        <v>43.9219986206897</v>
      </c>
      <c r="AC55" s="14" t="n">
        <f aca="false">IF($E$9=0,0,AC54*60/$E$9)</f>
        <v>43.6308976551724</v>
      </c>
      <c r="AD55" s="14" t="n">
        <f aca="false">IF($E$9=0,0,AD54*60/$E$9)</f>
        <v>46.6960195862069</v>
      </c>
      <c r="AE55" s="14" t="n">
        <f aca="false">IF($E$9=0,0,AE54*60/$E$9)</f>
        <v>48.0830300689655</v>
      </c>
      <c r="AF55" s="14" t="n">
        <f aca="false">IF($E$9=0,0,AF54*60/$E$9)</f>
        <v>43.9733693793104</v>
      </c>
      <c r="AG55" s="14" t="n">
        <f aca="false">IF($E$9=0,0,AG54*60/$E$9)</f>
        <v>50.8570510344828</v>
      </c>
      <c r="AH55" s="14" t="n">
        <f aca="false">IF($E$9=0,0,AH54*60/$E$9)</f>
        <v>50.3090962758621</v>
      </c>
      <c r="AI55" s="14" t="n">
        <f aca="false">IF($E$9=0,0,AI54*60/$E$9)</f>
        <v>53.631072</v>
      </c>
      <c r="AJ55" s="14" t="n">
        <f aca="false">IF($E$9=0,0,AJ54*60/$E$9)</f>
        <v>52.9803757241379</v>
      </c>
      <c r="AK55" s="14" t="n">
        <f aca="false">IF($E$9=0,0,AK54*60/$E$9)</f>
        <v>56.4050929655173</v>
      </c>
      <c r="AL55" s="14" t="n">
        <f aca="false">IF($E$9=0,0,AL54*60/$E$9)</f>
        <v>57.7921034482759</v>
      </c>
    </row>
    <row r="56" customFormat="false" ht="15" hidden="false" customHeight="false" outlineLevel="0" collapsed="false">
      <c r="A56" s="6" t="s">
        <v>495</v>
      </c>
      <c r="C56" s="22" t="n">
        <f aca="false">C55*$H$9</f>
        <v>1404.44540689655</v>
      </c>
      <c r="D56" s="22" t="n">
        <f aca="false">D55*$H$9</f>
        <v>1677.23191862069</v>
      </c>
      <c r="E56" s="22" t="n">
        <f aca="false">E55*$H$9</f>
        <v>1825.77902896552</v>
      </c>
      <c r="F56" s="22" t="n">
        <f aca="false">F55*$H$9</f>
        <v>2114.77068</v>
      </c>
      <c r="G56" s="22" t="n">
        <f aca="false">G55*$H$9</f>
        <v>2333.54006068966</v>
      </c>
      <c r="H56" s="22" t="n">
        <f aca="false">H55*$H$9</f>
        <v>2268.71950344828</v>
      </c>
      <c r="I56" s="22" t="n">
        <f aca="false">I55*$H$9</f>
        <v>2771.07882206897</v>
      </c>
      <c r="J56" s="22" t="n">
        <f aca="false">J55*$H$9</f>
        <v>2879.11308413793</v>
      </c>
      <c r="K56" s="22" t="n">
        <f aca="false">K55*$H$9</f>
        <v>3208.61758344828</v>
      </c>
      <c r="L56" s="22" t="n">
        <f aca="false">L55*$H$9</f>
        <v>3300.4467062069</v>
      </c>
      <c r="M56" s="22" t="n">
        <f aca="false">M55*$H$9</f>
        <v>3646.15634482759</v>
      </c>
      <c r="N56" s="22" t="n">
        <f aca="false">N55*$H$9</f>
        <v>3864.92572551724</v>
      </c>
      <c r="O56" s="22" t="n">
        <f aca="false">O55*$H$9</f>
        <v>3932.44713931035</v>
      </c>
      <c r="P56" s="22" t="n">
        <f aca="false">P55*$H$9</f>
        <v>4302.46448689655</v>
      </c>
      <c r="Q56" s="22" t="n">
        <f aca="false">Q55*$H$9</f>
        <v>4353.78076137931</v>
      </c>
      <c r="R56" s="22" t="n">
        <f aca="false">R55*$H$9</f>
        <v>4740.00324827586</v>
      </c>
      <c r="S56" s="22" t="n">
        <f aca="false">S55*$H$9</f>
        <v>4958.77262896552</v>
      </c>
      <c r="T56" s="22" t="n">
        <f aca="false">T55*$H$9</f>
        <v>4794.02037931035</v>
      </c>
      <c r="U56" s="22" t="n">
        <f aca="false">U55*$H$9</f>
        <v>5396.31139034483</v>
      </c>
      <c r="V56" s="22" t="n">
        <f aca="false">V55*$H$9</f>
        <v>5407.11481655172</v>
      </c>
      <c r="W56" s="22" t="n">
        <f aca="false">W55*$H$9</f>
        <v>5833.85015172414</v>
      </c>
      <c r="X56" s="22" t="n">
        <f aca="false">X55*$H$9</f>
        <v>5828.44843862069</v>
      </c>
      <c r="Y56" s="22" t="n">
        <f aca="false">Y55*$H$9</f>
        <v>6271.38891310345</v>
      </c>
      <c r="Z56" s="22" t="n">
        <f aca="false">Z55*$H$9</f>
        <v>6490.1582937931</v>
      </c>
      <c r="AA56" s="22" t="n">
        <f aca="false">AA55*$H$9</f>
        <v>6460.44887172414</v>
      </c>
      <c r="AB56" s="22" t="n">
        <f aca="false">AB55*$H$9</f>
        <v>6927.69705517241</v>
      </c>
      <c r="AC56" s="22" t="n">
        <f aca="false">AC55*$H$9</f>
        <v>6881.7824937931</v>
      </c>
      <c r="AD56" s="22" t="n">
        <f aca="false">AD55*$H$9</f>
        <v>7365.23581655172</v>
      </c>
      <c r="AE56" s="22" t="n">
        <f aca="false">AE55*$H$9</f>
        <v>7584.00519724138</v>
      </c>
      <c r="AF56" s="22" t="n">
        <f aca="false">AF55*$H$9</f>
        <v>6935.79962482759</v>
      </c>
      <c r="AG56" s="22" t="n">
        <f aca="false">AG55*$H$9</f>
        <v>8021.54395862069</v>
      </c>
      <c r="AH56" s="22" t="n">
        <f aca="false">AH55*$H$9</f>
        <v>7935.11654896552</v>
      </c>
      <c r="AI56" s="22" t="n">
        <f aca="false">AI55*$H$9</f>
        <v>8459.08272</v>
      </c>
      <c r="AJ56" s="22" t="n">
        <f aca="false">AJ55*$H$9</f>
        <v>8356.45017103448</v>
      </c>
      <c r="AK56" s="22" t="n">
        <f aca="false">AK55*$H$9</f>
        <v>8896.62148137931</v>
      </c>
      <c r="AL56" s="22" t="n">
        <f aca="false">AL55*$H$9</f>
        <v>9115.39086206897</v>
      </c>
    </row>
    <row r="57" customFormat="false" ht="15" hidden="false" customHeight="false" outlineLevel="0" collapsed="false">
      <c r="A57" s="6" t="s">
        <v>496</v>
      </c>
      <c r="C57" s="22" t="n">
        <f aca="false">C55*$K$9</f>
        <v>186.848802041379</v>
      </c>
      <c r="D57" s="22" t="n">
        <f aca="false">D55*$K$9</f>
        <v>223.140588591724</v>
      </c>
      <c r="E57" s="22" t="n">
        <f aca="false">E55*$K$9</f>
        <v>242.903442653793</v>
      </c>
      <c r="F57" s="22" t="n">
        <f aca="false">F55*$K$9</f>
        <v>281.35117692</v>
      </c>
      <c r="G57" s="22" t="n">
        <f aca="false">G55*$K$9</f>
        <v>310.456471084138</v>
      </c>
      <c r="H57" s="22" t="n">
        <f aca="false">H55*$K$9</f>
        <v>301.83268022069</v>
      </c>
      <c r="I57" s="22" t="n">
        <f aca="false">I55*$K$9</f>
        <v>368.667059412414</v>
      </c>
      <c r="J57" s="22" t="n">
        <f aca="false">J55*$K$9</f>
        <v>383.040044184828</v>
      </c>
      <c r="K57" s="22" t="n">
        <f aca="false">K55*$K$9</f>
        <v>426.87764774069</v>
      </c>
      <c r="L57" s="22" t="n">
        <f aca="false">L55*$K$9</f>
        <v>439.094684797241</v>
      </c>
      <c r="M57" s="22" t="n">
        <f aca="false">M55*$K$9</f>
        <v>485.088236068966</v>
      </c>
      <c r="N57" s="22" t="n">
        <f aca="false">N55*$K$9</f>
        <v>514.193530233104</v>
      </c>
      <c r="O57" s="22" t="n">
        <f aca="false">O55*$K$9</f>
        <v>523.176645715862</v>
      </c>
      <c r="P57" s="22" t="n">
        <f aca="false">P55*$K$9</f>
        <v>572.404118561379</v>
      </c>
      <c r="Q57" s="22" t="n">
        <f aca="false">Q55*$K$9</f>
        <v>579.231286328276</v>
      </c>
      <c r="R57" s="22" t="n">
        <f aca="false">R55*$K$9</f>
        <v>630.614706889655</v>
      </c>
      <c r="S57" s="22" t="n">
        <f aca="false">S55*$K$9</f>
        <v>659.720001053793</v>
      </c>
      <c r="T57" s="22" t="n">
        <f aca="false">T55*$K$9</f>
        <v>637.801199275862</v>
      </c>
      <c r="U57" s="22" t="n">
        <f aca="false">U55*$K$9</f>
        <v>717.930589382069</v>
      </c>
      <c r="V57" s="22" t="n">
        <f aca="false">V55*$K$9</f>
        <v>719.36788785931</v>
      </c>
      <c r="W57" s="22" t="n">
        <f aca="false">W55*$K$9</f>
        <v>776.141177710345</v>
      </c>
      <c r="X57" s="22" t="n">
        <f aca="false">X55*$K$9</f>
        <v>775.422528471724</v>
      </c>
      <c r="Y57" s="22" t="n">
        <f aca="false">Y55*$K$9</f>
        <v>834.35176603862</v>
      </c>
      <c r="Z57" s="22" t="n">
        <f aca="false">Z55*$K$9</f>
        <v>863.457060202759</v>
      </c>
      <c r="AA57" s="22" t="n">
        <f aca="false">AA55*$K$9</f>
        <v>859.504489390345</v>
      </c>
      <c r="AB57" s="22" t="n">
        <f aca="false">AB55*$K$9</f>
        <v>921.667648531035</v>
      </c>
      <c r="AC57" s="22" t="n">
        <f aca="false">AC55*$K$9</f>
        <v>915.559130002759</v>
      </c>
      <c r="AD57" s="22" t="n">
        <f aca="false">AD55*$K$9</f>
        <v>979.87823685931</v>
      </c>
      <c r="AE57" s="22" t="n">
        <f aca="false">AE55*$K$9</f>
        <v>1008.98353102345</v>
      </c>
      <c r="AF57" s="22" t="n">
        <f aca="false">AF55*$K$9</f>
        <v>922.745622388966</v>
      </c>
      <c r="AG57" s="22" t="n">
        <f aca="false">AG55*$K$9</f>
        <v>1067.19411935172</v>
      </c>
      <c r="AH57" s="22" t="n">
        <f aca="false">AH55*$K$9</f>
        <v>1055.69573153379</v>
      </c>
      <c r="AI57" s="22" t="n">
        <f aca="false">AI55*$K$9</f>
        <v>1125.40470768</v>
      </c>
      <c r="AJ57" s="22" t="n">
        <f aca="false">AJ55*$K$9</f>
        <v>1111.75037214621</v>
      </c>
      <c r="AK57" s="22" t="n">
        <f aca="false">AK55*$K$9</f>
        <v>1183.61529600828</v>
      </c>
      <c r="AL57" s="22" t="n">
        <f aca="false">AL55*$K$9</f>
        <v>1212.72059017241</v>
      </c>
    </row>
    <row r="58" customFormat="false" ht="15" hidden="false" customHeight="false" outlineLevel="0" collapsed="false">
      <c r="A58" s="6" t="s">
        <v>497</v>
      </c>
      <c r="C58" s="14" t="n">
        <f aca="false">C55*$L$9/60*$M$9</f>
        <v>1.95624</v>
      </c>
      <c r="D58" s="14" t="n">
        <f aca="false">D55*$L$9/60*$M$9</f>
        <v>2.336202</v>
      </c>
      <c r="E58" s="14" t="n">
        <f aca="false">E55*$L$9/60*$M$9</f>
        <v>2.543112</v>
      </c>
      <c r="F58" s="14" t="n">
        <f aca="false">F55*$L$9/60*$M$9</f>
        <v>2.945646</v>
      </c>
      <c r="G58" s="14" t="n">
        <f aca="false">G55*$L$9/60*$M$9</f>
        <v>3.250368</v>
      </c>
      <c r="H58" s="14" t="n">
        <f aca="false">H55*$L$9/60*$M$9</f>
        <v>3.16008</v>
      </c>
      <c r="I58" s="14" t="n">
        <f aca="false">I55*$L$9/60*$M$9</f>
        <v>3.859812</v>
      </c>
      <c r="J58" s="14" t="n">
        <f aca="false">J55*$L$9/60*$M$9</f>
        <v>4.010292</v>
      </c>
      <c r="K58" s="14" t="n">
        <f aca="false">K55*$L$9/60*$M$9</f>
        <v>4.469256</v>
      </c>
      <c r="L58" s="14" t="n">
        <f aca="false">L55*$L$9/60*$M$9</f>
        <v>4.597164</v>
      </c>
      <c r="M58" s="14" t="n">
        <f aca="false">M55*$L$9/60*$M$9</f>
        <v>5.0787</v>
      </c>
      <c r="N58" s="14" t="n">
        <f aca="false">N55*$L$9/60*$M$9</f>
        <v>5.383422</v>
      </c>
      <c r="O58" s="14" t="n">
        <f aca="false">O55*$L$9/60*$M$9</f>
        <v>5.477472</v>
      </c>
      <c r="P58" s="14" t="n">
        <f aca="false">P55*$L$9/60*$M$9</f>
        <v>5.992866</v>
      </c>
      <c r="Q58" s="14" t="n">
        <f aca="false">Q55*$L$9/60*$M$9</f>
        <v>6.064344</v>
      </c>
      <c r="R58" s="14" t="n">
        <f aca="false">R55*$L$9/60*$M$9</f>
        <v>6.60231</v>
      </c>
      <c r="S58" s="14" t="n">
        <f aca="false">S55*$L$9/60*$M$9</f>
        <v>6.907032</v>
      </c>
      <c r="T58" s="14" t="n">
        <f aca="false">T55*$L$9/60*$M$9</f>
        <v>6.67755</v>
      </c>
      <c r="U58" s="14" t="n">
        <f aca="false">U55*$L$9/60*$M$9</f>
        <v>7.516476</v>
      </c>
      <c r="V58" s="14" t="n">
        <f aca="false">V55*$L$9/60*$M$9</f>
        <v>7.531524</v>
      </c>
      <c r="W58" s="14" t="n">
        <f aca="false">W55*$L$9/60*$M$9</f>
        <v>8.12592</v>
      </c>
      <c r="X58" s="14" t="n">
        <f aca="false">X55*$L$9/60*$M$9</f>
        <v>8.118396</v>
      </c>
      <c r="Y58" s="14" t="n">
        <f aca="false">Y55*$L$9/60*$M$9</f>
        <v>8.735364</v>
      </c>
      <c r="Z58" s="14" t="n">
        <f aca="false">Z55*$L$9/60*$M$9</f>
        <v>9.040086</v>
      </c>
      <c r="AA58" s="14" t="n">
        <f aca="false">AA55*$L$9/60*$M$9</f>
        <v>8.998704</v>
      </c>
      <c r="AB58" s="14" t="n">
        <f aca="false">AB55*$L$9/60*$M$9</f>
        <v>9.64953</v>
      </c>
      <c r="AC58" s="14" t="n">
        <f aca="false">AC55*$L$9/60*$M$9</f>
        <v>9.585576</v>
      </c>
      <c r="AD58" s="14" t="n">
        <f aca="false">AD55*$L$9/60*$M$9</f>
        <v>10.258974</v>
      </c>
      <c r="AE58" s="14" t="n">
        <f aca="false">AE55*$L$9/60*$M$9</f>
        <v>10.563696</v>
      </c>
      <c r="AF58" s="14" t="n">
        <f aca="false">AF55*$L$9/60*$M$9</f>
        <v>9.660816</v>
      </c>
      <c r="AG58" s="14" t="n">
        <f aca="false">AG55*$L$9/60*$M$9</f>
        <v>11.17314</v>
      </c>
      <c r="AH58" s="14" t="n">
        <f aca="false">AH55*$L$9/60*$M$9</f>
        <v>11.052756</v>
      </c>
      <c r="AI58" s="14" t="n">
        <f aca="false">AI55*$L$9/60*$M$9</f>
        <v>11.782584</v>
      </c>
      <c r="AJ58" s="14" t="n">
        <f aca="false">AJ55*$L$9/60*$M$9</f>
        <v>11.639628</v>
      </c>
      <c r="AK58" s="14" t="n">
        <f aca="false">AK55*$L$9/60*$M$9</f>
        <v>12.392028</v>
      </c>
      <c r="AL58" s="14" t="n">
        <f aca="false">AL55*$L$9/60*$M$9</f>
        <v>12.69675</v>
      </c>
    </row>
    <row r="59" customFormat="false" ht="15" hidden="false" customHeight="false" outlineLevel="0" collapsed="false">
      <c r="A59" s="36" t="s">
        <v>477</v>
      </c>
    </row>
    <row r="60" customFormat="false" ht="15" hidden="false" customHeight="false" outlineLevel="0" collapsed="false">
      <c r="A60" s="6" t="s">
        <v>493</v>
      </c>
      <c r="C60" s="14" t="n">
        <f aca="false">C$27*$N$10</f>
        <v>7.1136</v>
      </c>
      <c r="D60" s="14" t="n">
        <f aca="false">D$27*$N$10</f>
        <v>8.49528</v>
      </c>
      <c r="E60" s="14" t="n">
        <f aca="false">E$27*$N$10</f>
        <v>9.24768</v>
      </c>
      <c r="F60" s="14" t="n">
        <f aca="false">F$27*$N$10</f>
        <v>10.71144</v>
      </c>
      <c r="G60" s="14" t="n">
        <f aca="false">G$27*$N$10</f>
        <v>11.81952</v>
      </c>
      <c r="H60" s="14" t="n">
        <f aca="false">H$27*$N$10</f>
        <v>11.4912</v>
      </c>
      <c r="I60" s="14" t="n">
        <f aca="false">I$27*$N$10</f>
        <v>14.03568</v>
      </c>
      <c r="J60" s="14" t="n">
        <f aca="false">J$27*$N$10</f>
        <v>14.58288</v>
      </c>
      <c r="K60" s="14" t="n">
        <f aca="false">K$27*$N$10</f>
        <v>16.25184</v>
      </c>
      <c r="L60" s="14" t="n">
        <f aca="false">L$27*$N$10</f>
        <v>16.71696</v>
      </c>
      <c r="M60" s="14" t="n">
        <f aca="false">M$27*$N$10</f>
        <v>18.468</v>
      </c>
      <c r="N60" s="14" t="n">
        <f aca="false">N$27*$N$10</f>
        <v>19.57608</v>
      </c>
      <c r="O60" s="14" t="n">
        <f aca="false">O$27*$N$10</f>
        <v>19.91808</v>
      </c>
      <c r="P60" s="14" t="n">
        <f aca="false">P$27*$N$10</f>
        <v>21.79224</v>
      </c>
      <c r="Q60" s="14" t="n">
        <f aca="false">Q$27*$N$10</f>
        <v>22.05216</v>
      </c>
      <c r="R60" s="14" t="n">
        <f aca="false">R$27*$N$10</f>
        <v>24.0084</v>
      </c>
      <c r="S60" s="14" t="n">
        <f aca="false">S$27*$N$10</f>
        <v>25.11648</v>
      </c>
      <c r="T60" s="14" t="n">
        <f aca="false">T$27*$N$10</f>
        <v>24.282</v>
      </c>
      <c r="U60" s="14" t="n">
        <f aca="false">U$27*$N$10</f>
        <v>27.33264</v>
      </c>
      <c r="V60" s="14" t="n">
        <f aca="false">V$27*$N$10</f>
        <v>27.38736</v>
      </c>
      <c r="W60" s="14" t="n">
        <f aca="false">W$27*$N$10</f>
        <v>29.5488</v>
      </c>
      <c r="X60" s="14" t="n">
        <f aca="false">X$27*$N$10</f>
        <v>29.52144</v>
      </c>
      <c r="Y60" s="14" t="n">
        <f aca="false">Y$27*$N$10</f>
        <v>31.76496</v>
      </c>
      <c r="Z60" s="14" t="n">
        <f aca="false">Z$27*$N$10</f>
        <v>32.87304</v>
      </c>
      <c r="AA60" s="14" t="n">
        <f aca="false">AA$27*$N$10</f>
        <v>32.72256</v>
      </c>
      <c r="AB60" s="14" t="n">
        <f aca="false">AB$27*$N$10</f>
        <v>35.0892</v>
      </c>
      <c r="AC60" s="14" t="n">
        <f aca="false">AC$27*$N$10</f>
        <v>34.85664</v>
      </c>
      <c r="AD60" s="14" t="n">
        <f aca="false">AD$27*$N$10</f>
        <v>37.30536</v>
      </c>
      <c r="AE60" s="14" t="n">
        <f aca="false">AE$27*$N$10</f>
        <v>38.41344</v>
      </c>
      <c r="AF60" s="14" t="n">
        <f aca="false">AF$27*$N$10</f>
        <v>35.13024</v>
      </c>
      <c r="AG60" s="14" t="n">
        <f aca="false">AG$27*$N$10</f>
        <v>40.6296</v>
      </c>
      <c r="AH60" s="14" t="n">
        <f aca="false">AH$27*$N$10</f>
        <v>40.19184</v>
      </c>
      <c r="AI60" s="14" t="n">
        <f aca="false">AI$27*$N$10</f>
        <v>42.84576</v>
      </c>
      <c r="AJ60" s="14" t="n">
        <f aca="false">AJ$27*$N$10</f>
        <v>42.32592</v>
      </c>
      <c r="AK60" s="14" t="n">
        <f aca="false">AK$27*$N$10</f>
        <v>45.06192</v>
      </c>
      <c r="AL60" s="14" t="n">
        <f aca="false">AL$27*$N$10</f>
        <v>46.17</v>
      </c>
    </row>
    <row r="61" customFormat="false" ht="15" hidden="false" customHeight="false" outlineLevel="0" collapsed="false">
      <c r="A61" s="6" t="s">
        <v>494</v>
      </c>
      <c r="C61" s="14" t="n">
        <f aca="false">IF($E$10=0,0,C60*60/$E$10)</f>
        <v>8.2992</v>
      </c>
      <c r="D61" s="14" t="n">
        <f aca="false">IF($E$10=0,0,D60*60/$E$10)</f>
        <v>9.91116</v>
      </c>
      <c r="E61" s="14" t="n">
        <f aca="false">IF($E$10=0,0,E60*60/$E$10)</f>
        <v>10.78896</v>
      </c>
      <c r="F61" s="14" t="n">
        <f aca="false">IF($E$10=0,0,F60*60/$E$10)</f>
        <v>12.49668</v>
      </c>
      <c r="G61" s="14" t="n">
        <f aca="false">IF($E$10=0,0,G60*60/$E$10)</f>
        <v>13.78944</v>
      </c>
      <c r="H61" s="14" t="n">
        <f aca="false">IF($E$10=0,0,H60*60/$E$10)</f>
        <v>13.4064</v>
      </c>
      <c r="I61" s="14" t="n">
        <f aca="false">IF($E$10=0,0,I60*60/$E$10)</f>
        <v>16.37496</v>
      </c>
      <c r="J61" s="14" t="n">
        <f aca="false">IF($E$10=0,0,J60*60/$E$10)</f>
        <v>17.01336</v>
      </c>
      <c r="K61" s="14" t="n">
        <f aca="false">IF($E$10=0,0,K60*60/$E$10)</f>
        <v>18.96048</v>
      </c>
      <c r="L61" s="14" t="n">
        <f aca="false">IF($E$10=0,0,L60*60/$E$10)</f>
        <v>19.50312</v>
      </c>
      <c r="M61" s="14" t="n">
        <f aca="false">IF($E$10=0,0,M60*60/$E$10)</f>
        <v>21.546</v>
      </c>
      <c r="N61" s="14" t="n">
        <f aca="false">IF($E$10=0,0,N60*60/$E$10)</f>
        <v>22.83876</v>
      </c>
      <c r="O61" s="14" t="n">
        <f aca="false">IF($E$10=0,0,O60*60/$E$10)</f>
        <v>23.23776</v>
      </c>
      <c r="P61" s="14" t="n">
        <f aca="false">IF($E$10=0,0,P60*60/$E$10)</f>
        <v>25.42428</v>
      </c>
      <c r="Q61" s="14" t="n">
        <f aca="false">IF($E$10=0,0,Q60*60/$E$10)</f>
        <v>25.72752</v>
      </c>
      <c r="R61" s="14" t="n">
        <f aca="false">IF($E$10=0,0,R60*60/$E$10)</f>
        <v>28.0098</v>
      </c>
      <c r="S61" s="14" t="n">
        <f aca="false">IF($E$10=0,0,S60*60/$E$10)</f>
        <v>29.30256</v>
      </c>
      <c r="T61" s="14" t="n">
        <f aca="false">IF($E$10=0,0,T60*60/$E$10)</f>
        <v>28.329</v>
      </c>
      <c r="U61" s="14" t="n">
        <f aca="false">IF($E$10=0,0,U60*60/$E$10)</f>
        <v>31.88808</v>
      </c>
      <c r="V61" s="14" t="n">
        <f aca="false">IF($E$10=0,0,V60*60/$E$10)</f>
        <v>31.95192</v>
      </c>
      <c r="W61" s="14" t="n">
        <f aca="false">IF($E$10=0,0,W60*60/$E$10)</f>
        <v>34.4736</v>
      </c>
      <c r="X61" s="14" t="n">
        <f aca="false">IF($E$10=0,0,X60*60/$E$10)</f>
        <v>34.44168</v>
      </c>
      <c r="Y61" s="14" t="n">
        <f aca="false">IF($E$10=0,0,Y60*60/$E$10)</f>
        <v>37.05912</v>
      </c>
      <c r="Z61" s="14" t="n">
        <f aca="false">IF($E$10=0,0,Z60*60/$E$10)</f>
        <v>38.35188</v>
      </c>
      <c r="AA61" s="14" t="n">
        <f aca="false">IF($E$10=0,0,AA60*60/$E$10)</f>
        <v>38.17632</v>
      </c>
      <c r="AB61" s="14" t="n">
        <f aca="false">IF($E$10=0,0,AB60*60/$E$10)</f>
        <v>40.9374</v>
      </c>
      <c r="AC61" s="14" t="n">
        <f aca="false">IF($E$10=0,0,AC60*60/$E$10)</f>
        <v>40.66608</v>
      </c>
      <c r="AD61" s="14" t="n">
        <f aca="false">IF($E$10=0,0,AD60*60/$E$10)</f>
        <v>43.52292</v>
      </c>
      <c r="AE61" s="14" t="n">
        <f aca="false">IF($E$10=0,0,AE60*60/$E$10)</f>
        <v>44.81568</v>
      </c>
      <c r="AF61" s="14" t="n">
        <f aca="false">IF($E$10=0,0,AF60*60/$E$10)</f>
        <v>40.98528</v>
      </c>
      <c r="AG61" s="14" t="n">
        <f aca="false">IF($E$10=0,0,AG60*60/$E$10)</f>
        <v>47.4012</v>
      </c>
      <c r="AH61" s="14" t="n">
        <f aca="false">IF($E$10=0,0,AH60*60/$E$10)</f>
        <v>46.89048</v>
      </c>
      <c r="AI61" s="14" t="n">
        <f aca="false">IF($E$10=0,0,AI60*60/$E$10)</f>
        <v>49.98672</v>
      </c>
      <c r="AJ61" s="14" t="n">
        <f aca="false">IF($E$10=0,0,AJ60*60/$E$10)</f>
        <v>49.38024</v>
      </c>
      <c r="AK61" s="14" t="n">
        <f aca="false">IF($E$10=0,0,AK60*60/$E$10)</f>
        <v>52.57224</v>
      </c>
      <c r="AL61" s="14" t="n">
        <f aca="false">IF($E$10=0,0,AL60*60/$E$10)</f>
        <v>53.865</v>
      </c>
    </row>
    <row r="62" customFormat="false" ht="15" hidden="false" customHeight="false" outlineLevel="0" collapsed="false">
      <c r="A62" s="6" t="s">
        <v>495</v>
      </c>
      <c r="C62" s="22" t="n">
        <f aca="false">C61*$H$10</f>
        <v>859.56</v>
      </c>
      <c r="D62" s="22" t="n">
        <f aca="false">D61*$H$10</f>
        <v>1026.513</v>
      </c>
      <c r="E62" s="22" t="n">
        <f aca="false">E61*$H$10</f>
        <v>1117.428</v>
      </c>
      <c r="F62" s="22" t="n">
        <f aca="false">F61*$H$10</f>
        <v>1294.299</v>
      </c>
      <c r="G62" s="22" t="n">
        <f aca="false">G61*$H$10</f>
        <v>1428.192</v>
      </c>
      <c r="H62" s="22" t="n">
        <f aca="false">H61*$H$10</f>
        <v>1388.52</v>
      </c>
      <c r="I62" s="22" t="n">
        <f aca="false">I61*$H$10</f>
        <v>1695.978</v>
      </c>
      <c r="J62" s="22" t="n">
        <f aca="false">J61*$H$10</f>
        <v>1762.098</v>
      </c>
      <c r="K62" s="22" t="n">
        <f aca="false">K61*$H$10</f>
        <v>1963.764</v>
      </c>
      <c r="L62" s="22" t="n">
        <f aca="false">L61*$H$10</f>
        <v>2019.966</v>
      </c>
      <c r="M62" s="22" t="n">
        <f aca="false">M61*$H$10</f>
        <v>2231.55</v>
      </c>
      <c r="N62" s="22" t="n">
        <f aca="false">N61*$H$10</f>
        <v>2365.443</v>
      </c>
      <c r="O62" s="22" t="n">
        <f aca="false">O61*$H$10</f>
        <v>2406.768</v>
      </c>
      <c r="P62" s="22" t="n">
        <f aca="false">P61*$H$10</f>
        <v>2633.229</v>
      </c>
      <c r="Q62" s="22" t="n">
        <f aca="false">Q61*$H$10</f>
        <v>2664.636</v>
      </c>
      <c r="R62" s="22" t="n">
        <f aca="false">R61*$H$10</f>
        <v>2901.015</v>
      </c>
      <c r="S62" s="22" t="n">
        <f aca="false">S61*$H$10</f>
        <v>3034.908</v>
      </c>
      <c r="T62" s="22" t="n">
        <f aca="false">T61*$H$10</f>
        <v>2934.075</v>
      </c>
      <c r="U62" s="22" t="n">
        <f aca="false">U61*$H$10</f>
        <v>3302.694</v>
      </c>
      <c r="V62" s="22" t="n">
        <f aca="false">V61*$H$10</f>
        <v>3309.306</v>
      </c>
      <c r="W62" s="22" t="n">
        <f aca="false">W61*$H$10</f>
        <v>3570.48</v>
      </c>
      <c r="X62" s="22" t="n">
        <f aca="false">X61*$H$10</f>
        <v>3567.174</v>
      </c>
      <c r="Y62" s="22" t="n">
        <f aca="false">Y61*$H$10</f>
        <v>3838.266</v>
      </c>
      <c r="Z62" s="22" t="n">
        <f aca="false">Z61*$H$10</f>
        <v>3972.159</v>
      </c>
      <c r="AA62" s="22" t="n">
        <f aca="false">AA61*$H$10</f>
        <v>3953.976</v>
      </c>
      <c r="AB62" s="22" t="n">
        <f aca="false">AB61*$H$10</f>
        <v>4239.945</v>
      </c>
      <c r="AC62" s="22" t="n">
        <f aca="false">AC61*$H$10</f>
        <v>4211.844</v>
      </c>
      <c r="AD62" s="22" t="n">
        <f aca="false">AD61*$H$10</f>
        <v>4507.731</v>
      </c>
      <c r="AE62" s="22" t="n">
        <f aca="false">AE61*$H$10</f>
        <v>4641.624</v>
      </c>
      <c r="AF62" s="22" t="n">
        <f aca="false">AF61*$H$10</f>
        <v>4244.904</v>
      </c>
      <c r="AG62" s="22" t="n">
        <f aca="false">AG61*$H$10</f>
        <v>4909.41</v>
      </c>
      <c r="AH62" s="22" t="n">
        <f aca="false">AH61*$H$10</f>
        <v>4856.514</v>
      </c>
      <c r="AI62" s="22" t="n">
        <f aca="false">AI61*$H$10</f>
        <v>5177.196</v>
      </c>
      <c r="AJ62" s="22" t="n">
        <f aca="false">AJ61*$H$10</f>
        <v>5114.382</v>
      </c>
      <c r="AK62" s="22" t="n">
        <f aca="false">AK61*$H$10</f>
        <v>5444.982</v>
      </c>
      <c r="AL62" s="22" t="n">
        <f aca="false">AL61*$H$10</f>
        <v>5578.875</v>
      </c>
    </row>
    <row r="63" customFormat="false" ht="15" hidden="false" customHeight="false" outlineLevel="0" collapsed="false">
      <c r="A63" s="6" t="s">
        <v>496</v>
      </c>
      <c r="C63" s="22" t="n">
        <f aca="false">C61*$K$10</f>
        <v>40.9167685333333</v>
      </c>
      <c r="D63" s="22" t="n">
        <f aca="false">D61*$K$10</f>
        <v>48.86406396</v>
      </c>
      <c r="E63" s="22" t="n">
        <f aca="false">E61*$K$10</f>
        <v>53.1917990933333</v>
      </c>
      <c r="F63" s="22" t="n">
        <f aca="false">F61*$K$10</f>
        <v>61.61121108</v>
      </c>
      <c r="G63" s="22" t="n">
        <f aca="false">G61*$K$10</f>
        <v>67.98478464</v>
      </c>
      <c r="H63" s="22" t="n">
        <f aca="false">H61*$K$10</f>
        <v>66.0963184</v>
      </c>
      <c r="I63" s="22" t="n">
        <f aca="false">I61*$K$10</f>
        <v>80.73193176</v>
      </c>
      <c r="J63" s="22" t="n">
        <f aca="false">J61*$K$10</f>
        <v>83.8793754933333</v>
      </c>
      <c r="K63" s="22" t="n">
        <f aca="false">K61*$K$10</f>
        <v>93.47907888</v>
      </c>
      <c r="L63" s="22" t="n">
        <f aca="false">L61*$K$10</f>
        <v>96.1544060533333</v>
      </c>
      <c r="M63" s="22" t="n">
        <f aca="false">M61*$K$10</f>
        <v>106.226226</v>
      </c>
      <c r="N63" s="22" t="n">
        <f aca="false">N61*$K$10</f>
        <v>112.59979956</v>
      </c>
      <c r="O63" s="22" t="n">
        <f aca="false">O61*$K$10</f>
        <v>114.566951893333</v>
      </c>
      <c r="P63" s="22" t="n">
        <f aca="false">P61*$K$10</f>
        <v>125.34694668</v>
      </c>
      <c r="Q63" s="22" t="n">
        <f aca="false">Q61*$K$10</f>
        <v>126.841982453333</v>
      </c>
      <c r="R63" s="22" t="n">
        <f aca="false">R61*$K$10</f>
        <v>138.0940938</v>
      </c>
      <c r="S63" s="22" t="n">
        <f aca="false">S61*$K$10</f>
        <v>144.46766736</v>
      </c>
      <c r="T63" s="22" t="n">
        <f aca="false">T61*$K$10</f>
        <v>139.667815666667</v>
      </c>
      <c r="U63" s="22" t="n">
        <f aca="false">U61*$K$10</f>
        <v>157.21481448</v>
      </c>
      <c r="V63" s="22" t="n">
        <f aca="false">V61*$K$10</f>
        <v>157.529558853333</v>
      </c>
      <c r="W63" s="22" t="n">
        <f aca="false">W61*$K$10</f>
        <v>169.9619616</v>
      </c>
      <c r="X63" s="22" t="n">
        <f aca="false">X61*$K$10</f>
        <v>169.804589413333</v>
      </c>
      <c r="Y63" s="22" t="n">
        <f aca="false">Y61*$K$10</f>
        <v>182.70910872</v>
      </c>
      <c r="Z63" s="22" t="n">
        <f aca="false">Z61*$K$10</f>
        <v>189.08268228</v>
      </c>
      <c r="AA63" s="22" t="n">
        <f aca="false">AA61*$K$10</f>
        <v>188.217135253333</v>
      </c>
      <c r="AB63" s="22" t="n">
        <f aca="false">AB61*$K$10</f>
        <v>201.8298294</v>
      </c>
      <c r="AC63" s="22" t="n">
        <f aca="false">AC61*$K$10</f>
        <v>200.492165813333</v>
      </c>
      <c r="AD63" s="22" t="n">
        <f aca="false">AD61*$K$10</f>
        <v>214.57697652</v>
      </c>
      <c r="AE63" s="22" t="n">
        <f aca="false">AE61*$K$10</f>
        <v>220.95055008</v>
      </c>
      <c r="AF63" s="22" t="n">
        <f aca="false">AF61*$K$10</f>
        <v>202.06588768</v>
      </c>
      <c r="AG63" s="22" t="n">
        <f aca="false">AG61*$K$10</f>
        <v>233.6976972</v>
      </c>
      <c r="AH63" s="22" t="n">
        <f aca="false">AH61*$K$10</f>
        <v>231.179742213333</v>
      </c>
      <c r="AI63" s="22" t="n">
        <f aca="false">AI61*$K$10</f>
        <v>246.44484432</v>
      </c>
      <c r="AJ63" s="22" t="n">
        <f aca="false">AJ61*$K$10</f>
        <v>243.454772773333</v>
      </c>
      <c r="AK63" s="22" t="n">
        <f aca="false">AK61*$K$10</f>
        <v>259.19199144</v>
      </c>
      <c r="AL63" s="22" t="n">
        <f aca="false">AL61*$K$10</f>
        <v>265.565565</v>
      </c>
    </row>
    <row r="64" customFormat="false" ht="15" hidden="false" customHeight="false" outlineLevel="0" collapsed="false">
      <c r="A64" s="6" t="s">
        <v>497</v>
      </c>
      <c r="C64" s="14" t="n">
        <f aca="false">C61*$L$10/60*$M$10</f>
        <v>2.48976</v>
      </c>
      <c r="D64" s="14" t="n">
        <f aca="false">D61*$L$10/60*$M$10</f>
        <v>2.973348</v>
      </c>
      <c r="E64" s="14" t="n">
        <f aca="false">E61*$L$10/60*$M$10</f>
        <v>3.236688</v>
      </c>
      <c r="F64" s="14" t="n">
        <f aca="false">F61*$L$10/60*$M$10</f>
        <v>3.749004</v>
      </c>
      <c r="G64" s="14" t="n">
        <f aca="false">G61*$L$10/60*$M$10</f>
        <v>4.136832</v>
      </c>
      <c r="H64" s="14" t="n">
        <f aca="false">H61*$L$10/60*$M$10</f>
        <v>4.02192</v>
      </c>
      <c r="I64" s="14" t="n">
        <f aca="false">I61*$L$10/60*$M$10</f>
        <v>4.912488</v>
      </c>
      <c r="J64" s="14" t="n">
        <f aca="false">J61*$L$10/60*$M$10</f>
        <v>5.104008</v>
      </c>
      <c r="K64" s="14" t="n">
        <f aca="false">K61*$L$10/60*$M$10</f>
        <v>5.688144</v>
      </c>
      <c r="L64" s="14" t="n">
        <f aca="false">L61*$L$10/60*$M$10</f>
        <v>5.850936</v>
      </c>
      <c r="M64" s="14" t="n">
        <f aca="false">M61*$L$10/60*$M$10</f>
        <v>6.4638</v>
      </c>
      <c r="N64" s="14" t="n">
        <f aca="false">N61*$L$10/60*$M$10</f>
        <v>6.851628</v>
      </c>
      <c r="O64" s="14" t="n">
        <f aca="false">O61*$L$10/60*$M$10</f>
        <v>6.971328</v>
      </c>
      <c r="P64" s="14" t="n">
        <f aca="false">P61*$L$10/60*$M$10</f>
        <v>7.627284</v>
      </c>
      <c r="Q64" s="14" t="n">
        <f aca="false">Q61*$L$10/60*$M$10</f>
        <v>7.718256</v>
      </c>
      <c r="R64" s="14" t="n">
        <f aca="false">R61*$L$10/60*$M$10</f>
        <v>8.40294</v>
      </c>
      <c r="S64" s="14" t="n">
        <f aca="false">S61*$L$10/60*$M$10</f>
        <v>8.790768</v>
      </c>
      <c r="T64" s="14" t="n">
        <f aca="false">T61*$L$10/60*$M$10</f>
        <v>8.4987</v>
      </c>
      <c r="U64" s="14" t="n">
        <f aca="false">U61*$L$10/60*$M$10</f>
        <v>9.566424</v>
      </c>
      <c r="V64" s="14" t="n">
        <f aca="false">V61*$L$10/60*$M$10</f>
        <v>9.585576</v>
      </c>
      <c r="W64" s="14" t="n">
        <f aca="false">W61*$L$10/60*$M$10</f>
        <v>10.34208</v>
      </c>
      <c r="X64" s="14" t="n">
        <f aca="false">X61*$L$10/60*$M$10</f>
        <v>10.332504</v>
      </c>
      <c r="Y64" s="14" t="n">
        <f aca="false">Y61*$L$10/60*$M$10</f>
        <v>11.117736</v>
      </c>
      <c r="Z64" s="14" t="n">
        <f aca="false">Z61*$L$10/60*$M$10</f>
        <v>11.505564</v>
      </c>
      <c r="AA64" s="14" t="n">
        <f aca="false">AA61*$L$10/60*$M$10</f>
        <v>11.452896</v>
      </c>
      <c r="AB64" s="14" t="n">
        <f aca="false">AB61*$L$10/60*$M$10</f>
        <v>12.28122</v>
      </c>
      <c r="AC64" s="14" t="n">
        <f aca="false">AC61*$L$10/60*$M$10</f>
        <v>12.199824</v>
      </c>
      <c r="AD64" s="14" t="n">
        <f aca="false">AD61*$L$10/60*$M$10</f>
        <v>13.056876</v>
      </c>
      <c r="AE64" s="14" t="n">
        <f aca="false">AE61*$L$10/60*$M$10</f>
        <v>13.444704</v>
      </c>
      <c r="AF64" s="14" t="n">
        <f aca="false">AF61*$L$10/60*$M$10</f>
        <v>12.295584</v>
      </c>
      <c r="AG64" s="14" t="n">
        <f aca="false">AG61*$L$10/60*$M$10</f>
        <v>14.22036</v>
      </c>
      <c r="AH64" s="14" t="n">
        <f aca="false">AH61*$L$10/60*$M$10</f>
        <v>14.067144</v>
      </c>
      <c r="AI64" s="14" t="n">
        <f aca="false">AI61*$L$10/60*$M$10</f>
        <v>14.996016</v>
      </c>
      <c r="AJ64" s="14" t="n">
        <f aca="false">AJ61*$L$10/60*$M$10</f>
        <v>14.814072</v>
      </c>
      <c r="AK64" s="14" t="n">
        <f aca="false">AK61*$L$10/60*$M$10</f>
        <v>15.771672</v>
      </c>
      <c r="AL64" s="14" t="n">
        <f aca="false">AL61*$L$10/60*$M$10</f>
        <v>16.1595</v>
      </c>
    </row>
    <row r="65" customFormat="false" ht="15" hidden="false" customHeight="false" outlineLevel="0" collapsed="false">
      <c r="A65" s="36" t="s">
        <v>478</v>
      </c>
    </row>
    <row r="66" customFormat="false" ht="15" hidden="false" customHeight="false" outlineLevel="0" collapsed="false">
      <c r="A66" s="6" t="s">
        <v>493</v>
      </c>
      <c r="C66" s="14" t="n">
        <f aca="false">C$27*$N$11</f>
        <v>2.6676</v>
      </c>
      <c r="D66" s="14" t="n">
        <f aca="false">D$27*$N$11</f>
        <v>3.18573</v>
      </c>
      <c r="E66" s="14" t="n">
        <f aca="false">E$27*$N$11</f>
        <v>3.46788</v>
      </c>
      <c r="F66" s="14" t="n">
        <f aca="false">F$27*$N$11</f>
        <v>4.01679</v>
      </c>
      <c r="G66" s="14" t="n">
        <f aca="false">G$27*$N$11</f>
        <v>4.43232</v>
      </c>
      <c r="H66" s="14" t="n">
        <f aca="false">H$27*$N$11</f>
        <v>4.3092</v>
      </c>
      <c r="I66" s="14" t="n">
        <f aca="false">I$27*$N$11</f>
        <v>5.26338</v>
      </c>
      <c r="J66" s="14" t="n">
        <f aca="false">J$27*$N$11</f>
        <v>5.46858</v>
      </c>
      <c r="K66" s="14" t="n">
        <f aca="false">K$27*$N$11</f>
        <v>6.09444</v>
      </c>
      <c r="L66" s="14" t="n">
        <f aca="false">L$27*$N$11</f>
        <v>6.26886</v>
      </c>
      <c r="M66" s="14" t="n">
        <f aca="false">M$27*$N$11</f>
        <v>6.9255</v>
      </c>
      <c r="N66" s="14" t="n">
        <f aca="false">N$27*$N$11</f>
        <v>7.34103</v>
      </c>
      <c r="O66" s="14" t="n">
        <f aca="false">O$27*$N$11</f>
        <v>7.46928</v>
      </c>
      <c r="P66" s="14" t="n">
        <f aca="false">P$27*$N$11</f>
        <v>8.17209</v>
      </c>
      <c r="Q66" s="14" t="n">
        <f aca="false">Q$27*$N$11</f>
        <v>8.26956</v>
      </c>
      <c r="R66" s="14" t="n">
        <f aca="false">R$27*$N$11</f>
        <v>9.00315</v>
      </c>
      <c r="S66" s="14" t="n">
        <f aca="false">S$27*$N$11</f>
        <v>9.41868</v>
      </c>
      <c r="T66" s="14" t="n">
        <f aca="false">T$27*$N$11</f>
        <v>9.10575</v>
      </c>
      <c r="U66" s="14" t="n">
        <f aca="false">U$27*$N$11</f>
        <v>10.24974</v>
      </c>
      <c r="V66" s="14" t="n">
        <f aca="false">V$27*$N$11</f>
        <v>10.27026</v>
      </c>
      <c r="W66" s="14" t="n">
        <f aca="false">W$27*$N$11</f>
        <v>11.0808</v>
      </c>
      <c r="X66" s="14" t="n">
        <f aca="false">X$27*$N$11</f>
        <v>11.07054</v>
      </c>
      <c r="Y66" s="14" t="n">
        <f aca="false">Y$27*$N$11</f>
        <v>11.91186</v>
      </c>
      <c r="Z66" s="14" t="n">
        <f aca="false">Z$27*$N$11</f>
        <v>12.32739</v>
      </c>
      <c r="AA66" s="14" t="n">
        <f aca="false">AA$27*$N$11</f>
        <v>12.27096</v>
      </c>
      <c r="AB66" s="14" t="n">
        <f aca="false">AB$27*$N$11</f>
        <v>13.15845</v>
      </c>
      <c r="AC66" s="14" t="n">
        <f aca="false">AC$27*$N$11</f>
        <v>13.07124</v>
      </c>
      <c r="AD66" s="14" t="n">
        <f aca="false">AD$27*$N$11</f>
        <v>13.98951</v>
      </c>
      <c r="AE66" s="14" t="n">
        <f aca="false">AE$27*$N$11</f>
        <v>14.40504</v>
      </c>
      <c r="AF66" s="14" t="n">
        <f aca="false">AF$27*$N$11</f>
        <v>13.17384</v>
      </c>
      <c r="AG66" s="14" t="n">
        <f aca="false">AG$27*$N$11</f>
        <v>15.2361</v>
      </c>
      <c r="AH66" s="14" t="n">
        <f aca="false">AH$27*$N$11</f>
        <v>15.07194</v>
      </c>
      <c r="AI66" s="14" t="n">
        <f aca="false">AI$27*$N$11</f>
        <v>16.06716</v>
      </c>
      <c r="AJ66" s="14" t="n">
        <f aca="false">AJ$27*$N$11</f>
        <v>15.87222</v>
      </c>
      <c r="AK66" s="14" t="n">
        <f aca="false">AK$27*$N$11</f>
        <v>16.89822</v>
      </c>
      <c r="AL66" s="14" t="n">
        <f aca="false">AL$27*$N$11</f>
        <v>17.31375</v>
      </c>
    </row>
    <row r="67" customFormat="false" ht="15" hidden="false" customHeight="false" outlineLevel="0" collapsed="false">
      <c r="A67" s="6" t="s">
        <v>494</v>
      </c>
      <c r="C67" s="14" t="n">
        <f aca="false">IF($E$11=0,0,C66*60/$E$11)</f>
        <v>2.6676</v>
      </c>
      <c r="D67" s="14" t="n">
        <f aca="false">IF($E$11=0,0,D66*60/$E$11)</f>
        <v>3.18573</v>
      </c>
      <c r="E67" s="14" t="n">
        <f aca="false">IF($E$11=0,0,E66*60/$E$11)</f>
        <v>3.46788</v>
      </c>
      <c r="F67" s="14" t="n">
        <f aca="false">IF($E$11=0,0,F66*60/$E$11)</f>
        <v>4.01679</v>
      </c>
      <c r="G67" s="14" t="n">
        <f aca="false">IF($E$11=0,0,G66*60/$E$11)</f>
        <v>4.43232</v>
      </c>
      <c r="H67" s="14" t="n">
        <f aca="false">IF($E$11=0,0,H66*60/$E$11)</f>
        <v>4.3092</v>
      </c>
      <c r="I67" s="14" t="n">
        <f aca="false">IF($E$11=0,0,I66*60/$E$11)</f>
        <v>5.26338</v>
      </c>
      <c r="J67" s="14" t="n">
        <f aca="false">IF($E$11=0,0,J66*60/$E$11)</f>
        <v>5.46858</v>
      </c>
      <c r="K67" s="14" t="n">
        <f aca="false">IF($E$11=0,0,K66*60/$E$11)</f>
        <v>6.09444</v>
      </c>
      <c r="L67" s="14" t="n">
        <f aca="false">IF($E$11=0,0,L66*60/$E$11)</f>
        <v>6.26886</v>
      </c>
      <c r="M67" s="14" t="n">
        <f aca="false">IF($E$11=0,0,M66*60/$E$11)</f>
        <v>6.9255</v>
      </c>
      <c r="N67" s="14" t="n">
        <f aca="false">IF($E$11=0,0,N66*60/$E$11)</f>
        <v>7.34103</v>
      </c>
      <c r="O67" s="14" t="n">
        <f aca="false">IF($E$11=0,0,O66*60/$E$11)</f>
        <v>7.46928</v>
      </c>
      <c r="P67" s="14" t="n">
        <f aca="false">IF($E$11=0,0,P66*60/$E$11)</f>
        <v>8.17209</v>
      </c>
      <c r="Q67" s="14" t="n">
        <f aca="false">IF($E$11=0,0,Q66*60/$E$11)</f>
        <v>8.26956</v>
      </c>
      <c r="R67" s="14" t="n">
        <f aca="false">IF($E$11=0,0,R66*60/$E$11)</f>
        <v>9.00315</v>
      </c>
      <c r="S67" s="14" t="n">
        <f aca="false">IF($E$11=0,0,S66*60/$E$11)</f>
        <v>9.41868</v>
      </c>
      <c r="T67" s="14" t="n">
        <f aca="false">IF($E$11=0,0,T66*60/$E$11)</f>
        <v>9.10575</v>
      </c>
      <c r="U67" s="14" t="n">
        <f aca="false">IF($E$11=0,0,U66*60/$E$11)</f>
        <v>10.24974</v>
      </c>
      <c r="V67" s="14" t="n">
        <f aca="false">IF($E$11=0,0,V66*60/$E$11)</f>
        <v>10.27026</v>
      </c>
      <c r="W67" s="14" t="n">
        <f aca="false">IF($E$11=0,0,W66*60/$E$11)</f>
        <v>11.0808</v>
      </c>
      <c r="X67" s="14" t="n">
        <f aca="false">IF($E$11=0,0,X66*60/$E$11)</f>
        <v>11.07054</v>
      </c>
      <c r="Y67" s="14" t="n">
        <f aca="false">IF($E$11=0,0,Y66*60/$E$11)</f>
        <v>11.91186</v>
      </c>
      <c r="Z67" s="14" t="n">
        <f aca="false">IF($E$11=0,0,Z66*60/$E$11)</f>
        <v>12.32739</v>
      </c>
      <c r="AA67" s="14" t="n">
        <f aca="false">IF($E$11=0,0,AA66*60/$E$11)</f>
        <v>12.27096</v>
      </c>
      <c r="AB67" s="14" t="n">
        <f aca="false">IF($E$11=0,0,AB66*60/$E$11)</f>
        <v>13.15845</v>
      </c>
      <c r="AC67" s="14" t="n">
        <f aca="false">IF($E$11=0,0,AC66*60/$E$11)</f>
        <v>13.07124</v>
      </c>
      <c r="AD67" s="14" t="n">
        <f aca="false">IF($E$11=0,0,AD66*60/$E$11)</f>
        <v>13.98951</v>
      </c>
      <c r="AE67" s="14" t="n">
        <f aca="false">IF($E$11=0,0,AE66*60/$E$11)</f>
        <v>14.40504</v>
      </c>
      <c r="AF67" s="14" t="n">
        <f aca="false">IF($E$11=0,0,AF66*60/$E$11)</f>
        <v>13.17384</v>
      </c>
      <c r="AG67" s="14" t="n">
        <f aca="false">IF($E$11=0,0,AG66*60/$E$11)</f>
        <v>15.2361</v>
      </c>
      <c r="AH67" s="14" t="n">
        <f aca="false">IF($E$11=0,0,AH66*60/$E$11)</f>
        <v>15.07194</v>
      </c>
      <c r="AI67" s="14" t="n">
        <f aca="false">IF($E$11=0,0,AI66*60/$E$11)</f>
        <v>16.06716</v>
      </c>
      <c r="AJ67" s="14" t="n">
        <f aca="false">IF($E$11=0,0,AJ66*60/$E$11)</f>
        <v>15.87222</v>
      </c>
      <c r="AK67" s="14" t="n">
        <f aca="false">IF($E$11=0,0,AK66*60/$E$11)</f>
        <v>16.89822</v>
      </c>
      <c r="AL67" s="14" t="n">
        <f aca="false">IF($E$11=0,0,AL66*60/$E$11)</f>
        <v>17.31375</v>
      </c>
    </row>
    <row r="68" customFormat="false" ht="15" hidden="false" customHeight="false" outlineLevel="0" collapsed="false">
      <c r="A68" s="6" t="s">
        <v>495</v>
      </c>
      <c r="C68" s="22" t="n">
        <f aca="false">C67*$H$11</f>
        <v>333.45</v>
      </c>
      <c r="D68" s="22" t="n">
        <f aca="false">D67*$H$11</f>
        <v>398.21625</v>
      </c>
      <c r="E68" s="22" t="n">
        <f aca="false">E67*$H$11</f>
        <v>433.485</v>
      </c>
      <c r="F68" s="22" t="n">
        <f aca="false">F67*$H$11</f>
        <v>502.09875</v>
      </c>
      <c r="G68" s="22" t="n">
        <f aca="false">G67*$H$11</f>
        <v>554.04</v>
      </c>
      <c r="H68" s="22" t="n">
        <f aca="false">H67*$H$11</f>
        <v>538.65</v>
      </c>
      <c r="I68" s="22" t="n">
        <f aca="false">I67*$H$11</f>
        <v>657.9225</v>
      </c>
      <c r="J68" s="22" t="n">
        <f aca="false">J67*$H$11</f>
        <v>683.5725</v>
      </c>
      <c r="K68" s="22" t="n">
        <f aca="false">K67*$H$11</f>
        <v>761.805</v>
      </c>
      <c r="L68" s="22" t="n">
        <f aca="false">L67*$H$11</f>
        <v>783.6075</v>
      </c>
      <c r="M68" s="22" t="n">
        <f aca="false">M67*$H$11</f>
        <v>865.6875</v>
      </c>
      <c r="N68" s="22" t="n">
        <f aca="false">N67*$H$11</f>
        <v>917.62875</v>
      </c>
      <c r="O68" s="22" t="n">
        <f aca="false">O67*$H$11</f>
        <v>933.66</v>
      </c>
      <c r="P68" s="22" t="n">
        <f aca="false">P67*$H$11</f>
        <v>1021.51125</v>
      </c>
      <c r="Q68" s="22" t="n">
        <f aca="false">Q67*$H$11</f>
        <v>1033.695</v>
      </c>
      <c r="R68" s="22" t="n">
        <f aca="false">R67*$H$11</f>
        <v>1125.39375</v>
      </c>
      <c r="S68" s="22" t="n">
        <f aca="false">S67*$H$11</f>
        <v>1177.335</v>
      </c>
      <c r="T68" s="22" t="n">
        <f aca="false">T67*$H$11</f>
        <v>1138.21875</v>
      </c>
      <c r="U68" s="22" t="n">
        <f aca="false">U67*$H$11</f>
        <v>1281.2175</v>
      </c>
      <c r="V68" s="22" t="n">
        <f aca="false">V67*$H$11</f>
        <v>1283.7825</v>
      </c>
      <c r="W68" s="22" t="n">
        <f aca="false">W67*$H$11</f>
        <v>1385.1</v>
      </c>
      <c r="X68" s="22" t="n">
        <f aca="false">X67*$H$11</f>
        <v>1383.8175</v>
      </c>
      <c r="Y68" s="22" t="n">
        <f aca="false">Y67*$H$11</f>
        <v>1488.9825</v>
      </c>
      <c r="Z68" s="22" t="n">
        <f aca="false">Z67*$H$11</f>
        <v>1540.92375</v>
      </c>
      <c r="AA68" s="22" t="n">
        <f aca="false">AA67*$H$11</f>
        <v>1533.87</v>
      </c>
      <c r="AB68" s="22" t="n">
        <f aca="false">AB67*$H$11</f>
        <v>1644.80625</v>
      </c>
      <c r="AC68" s="22" t="n">
        <f aca="false">AC67*$H$11</f>
        <v>1633.905</v>
      </c>
      <c r="AD68" s="22" t="n">
        <f aca="false">AD67*$H$11</f>
        <v>1748.68875</v>
      </c>
      <c r="AE68" s="22" t="n">
        <f aca="false">AE67*$H$11</f>
        <v>1800.63</v>
      </c>
      <c r="AF68" s="22" t="n">
        <f aca="false">AF67*$H$11</f>
        <v>1646.73</v>
      </c>
      <c r="AG68" s="22" t="n">
        <f aca="false">AG67*$H$11</f>
        <v>1904.5125</v>
      </c>
      <c r="AH68" s="22" t="n">
        <f aca="false">AH67*$H$11</f>
        <v>1883.9925</v>
      </c>
      <c r="AI68" s="22" t="n">
        <f aca="false">AI67*$H$11</f>
        <v>2008.395</v>
      </c>
      <c r="AJ68" s="22" t="n">
        <f aca="false">AJ67*$H$11</f>
        <v>1984.0275</v>
      </c>
      <c r="AK68" s="22" t="n">
        <f aca="false">AK67*$H$11</f>
        <v>2112.2775</v>
      </c>
      <c r="AL68" s="22" t="n">
        <f aca="false">AL67*$H$11</f>
        <v>2164.21875</v>
      </c>
    </row>
    <row r="69" customFormat="false" ht="15" hidden="false" customHeight="false" outlineLevel="0" collapsed="false">
      <c r="A69" s="6" t="s">
        <v>496</v>
      </c>
      <c r="C69" s="22" t="n">
        <f aca="false">C67*$K$11</f>
        <v>69.27320504</v>
      </c>
      <c r="D69" s="22" t="n">
        <f aca="false">D67*$K$11</f>
        <v>82.728192942</v>
      </c>
      <c r="E69" s="22" t="n">
        <f aca="false">E67*$K$11</f>
        <v>90.055166552</v>
      </c>
      <c r="F69" s="22" t="n">
        <f aca="false">F67*$K$11</f>
        <v>104.309460666</v>
      </c>
      <c r="G69" s="22" t="n">
        <f aca="false">G67*$K$11</f>
        <v>115.100094528</v>
      </c>
      <c r="H69" s="22" t="n">
        <f aca="false">H67*$K$11</f>
        <v>111.90286968</v>
      </c>
      <c r="I69" s="22" t="n">
        <f aca="false">I67*$K$11</f>
        <v>136.681362252</v>
      </c>
      <c r="J69" s="22" t="n">
        <f aca="false">J67*$K$11</f>
        <v>142.010070332</v>
      </c>
      <c r="K69" s="22" t="n">
        <f aca="false">K67*$K$11</f>
        <v>158.262629976</v>
      </c>
      <c r="L69" s="22" t="n">
        <f aca="false">L67*$K$11</f>
        <v>162.792031844</v>
      </c>
      <c r="M69" s="22" t="n">
        <f aca="false">M67*$K$11</f>
        <v>179.8438977</v>
      </c>
      <c r="N69" s="22" t="n">
        <f aca="false">N67*$K$11</f>
        <v>190.634531562</v>
      </c>
      <c r="O69" s="22" t="n">
        <f aca="false">O67*$K$11</f>
        <v>193.964974112</v>
      </c>
      <c r="P69" s="22" t="n">
        <f aca="false">P67*$K$11</f>
        <v>212.215799286</v>
      </c>
      <c r="Q69" s="22" t="n">
        <f aca="false">Q67*$K$11</f>
        <v>214.746935624</v>
      </c>
      <c r="R69" s="22" t="n">
        <f aca="false">R67*$K$11</f>
        <v>233.79706701</v>
      </c>
      <c r="S69" s="22" t="n">
        <f aca="false">S67*$K$11</f>
        <v>244.587700872</v>
      </c>
      <c r="T69" s="22" t="n">
        <f aca="false">T67*$K$11</f>
        <v>236.46142105</v>
      </c>
      <c r="U69" s="22" t="n">
        <f aca="false">U67*$K$11</f>
        <v>266.168968596</v>
      </c>
      <c r="V69" s="22" t="n">
        <f aca="false">V67*$K$11</f>
        <v>266.701839404</v>
      </c>
      <c r="W69" s="22" t="n">
        <f aca="false">W67*$K$11</f>
        <v>287.75023632</v>
      </c>
      <c r="X69" s="22" t="n">
        <f aca="false">X67*$K$11</f>
        <v>287.483800916</v>
      </c>
      <c r="Y69" s="22" t="n">
        <f aca="false">Y67*$K$11</f>
        <v>309.331504044</v>
      </c>
      <c r="Z69" s="22" t="n">
        <f aca="false">Z67*$K$11</f>
        <v>320.122137906</v>
      </c>
      <c r="AA69" s="22" t="n">
        <f aca="false">AA67*$K$11</f>
        <v>318.656743184</v>
      </c>
      <c r="AB69" s="22" t="n">
        <f aca="false">AB67*$K$11</f>
        <v>341.70340563</v>
      </c>
      <c r="AC69" s="22" t="n">
        <f aca="false">AC67*$K$11</f>
        <v>339.438704696</v>
      </c>
      <c r="AD69" s="22" t="n">
        <f aca="false">AD67*$K$11</f>
        <v>363.284673354</v>
      </c>
      <c r="AE69" s="22" t="n">
        <f aca="false">AE67*$K$11</f>
        <v>374.075307216</v>
      </c>
      <c r="AF69" s="22" t="n">
        <f aca="false">AF67*$K$11</f>
        <v>342.103058736</v>
      </c>
      <c r="AG69" s="22" t="n">
        <f aca="false">AG67*$K$11</f>
        <v>395.65657494</v>
      </c>
      <c r="AH69" s="22" t="n">
        <f aca="false">AH67*$K$11</f>
        <v>391.393608476</v>
      </c>
      <c r="AI69" s="22" t="n">
        <f aca="false">AI67*$K$11</f>
        <v>417.237842664</v>
      </c>
      <c r="AJ69" s="22" t="n">
        <f aca="false">AJ67*$K$11</f>
        <v>412.175569988</v>
      </c>
      <c r="AK69" s="22" t="n">
        <f aca="false">AK67*$K$11</f>
        <v>438.819110388</v>
      </c>
      <c r="AL69" s="22" t="n">
        <f aca="false">AL67*$K$11</f>
        <v>449.60974425</v>
      </c>
    </row>
    <row r="70" customFormat="false" ht="15" hidden="false" customHeight="false" outlineLevel="0" collapsed="false">
      <c r="A70" s="6" t="s">
        <v>497</v>
      </c>
      <c r="C70" s="14" t="n">
        <f aca="false">C67*$L$11/60*$M$11</f>
        <v>0.053352</v>
      </c>
      <c r="D70" s="14" t="n">
        <f aca="false">D67*$L$11/60*$M$11</f>
        <v>0.0637146</v>
      </c>
      <c r="E70" s="14" t="n">
        <f aca="false">E67*$L$11/60*$M$11</f>
        <v>0.0693576</v>
      </c>
      <c r="F70" s="14" t="n">
        <f aca="false">F67*$L$11/60*$M$11</f>
        <v>0.0803358</v>
      </c>
      <c r="G70" s="14" t="n">
        <f aca="false">G67*$L$11/60*$M$11</f>
        <v>0.0886464</v>
      </c>
      <c r="H70" s="14" t="n">
        <f aca="false">H67*$L$11/60*$M$11</f>
        <v>0.086184</v>
      </c>
      <c r="I70" s="14" t="n">
        <f aca="false">I67*$L$11/60*$M$11</f>
        <v>0.1052676</v>
      </c>
      <c r="J70" s="14" t="n">
        <f aca="false">J67*$L$11/60*$M$11</f>
        <v>0.1093716</v>
      </c>
      <c r="K70" s="14" t="n">
        <f aca="false">K67*$L$11/60*$M$11</f>
        <v>0.1218888</v>
      </c>
      <c r="L70" s="14" t="n">
        <f aca="false">L67*$L$11/60*$M$11</f>
        <v>0.1253772</v>
      </c>
      <c r="M70" s="14" t="n">
        <f aca="false">M67*$L$11/60*$M$11</f>
        <v>0.13851</v>
      </c>
      <c r="N70" s="14" t="n">
        <f aca="false">N67*$L$11/60*$M$11</f>
        <v>0.1468206</v>
      </c>
      <c r="O70" s="14" t="n">
        <f aca="false">O67*$L$11/60*$M$11</f>
        <v>0.1493856</v>
      </c>
      <c r="P70" s="14" t="n">
        <f aca="false">P67*$L$11/60*$M$11</f>
        <v>0.1634418</v>
      </c>
      <c r="Q70" s="14" t="n">
        <f aca="false">Q67*$L$11/60*$M$11</f>
        <v>0.1653912</v>
      </c>
      <c r="R70" s="14" t="n">
        <f aca="false">R67*$L$11/60*$M$11</f>
        <v>0.180063</v>
      </c>
      <c r="S70" s="14" t="n">
        <f aca="false">S67*$L$11/60*$M$11</f>
        <v>0.1883736</v>
      </c>
      <c r="T70" s="14" t="n">
        <f aca="false">T67*$L$11/60*$M$11</f>
        <v>0.182115</v>
      </c>
      <c r="U70" s="14" t="n">
        <f aca="false">U67*$L$11/60*$M$11</f>
        <v>0.2049948</v>
      </c>
      <c r="V70" s="14" t="n">
        <f aca="false">V67*$L$11/60*$M$11</f>
        <v>0.2054052</v>
      </c>
      <c r="W70" s="14" t="n">
        <f aca="false">W67*$L$11/60*$M$11</f>
        <v>0.221616</v>
      </c>
      <c r="X70" s="14" t="n">
        <f aca="false">X67*$L$11/60*$M$11</f>
        <v>0.2214108</v>
      </c>
      <c r="Y70" s="14" t="n">
        <f aca="false">Y67*$L$11/60*$M$11</f>
        <v>0.2382372</v>
      </c>
      <c r="Z70" s="14" t="n">
        <f aca="false">Z67*$L$11/60*$M$11</f>
        <v>0.2465478</v>
      </c>
      <c r="AA70" s="14" t="n">
        <f aca="false">AA67*$L$11/60*$M$11</f>
        <v>0.2454192</v>
      </c>
      <c r="AB70" s="14" t="n">
        <f aca="false">AB67*$L$11/60*$M$11</f>
        <v>0.263169</v>
      </c>
      <c r="AC70" s="14" t="n">
        <f aca="false">AC67*$L$11/60*$M$11</f>
        <v>0.2614248</v>
      </c>
      <c r="AD70" s="14" t="n">
        <f aca="false">AD67*$L$11/60*$M$11</f>
        <v>0.2797902</v>
      </c>
      <c r="AE70" s="14" t="n">
        <f aca="false">AE67*$L$11/60*$M$11</f>
        <v>0.2881008</v>
      </c>
      <c r="AF70" s="14" t="n">
        <f aca="false">AF67*$L$11/60*$M$11</f>
        <v>0.2634768</v>
      </c>
      <c r="AG70" s="14" t="n">
        <f aca="false">AG67*$L$11/60*$M$11</f>
        <v>0.304722</v>
      </c>
      <c r="AH70" s="14" t="n">
        <f aca="false">AH67*$L$11/60*$M$11</f>
        <v>0.3014388</v>
      </c>
      <c r="AI70" s="14" t="n">
        <f aca="false">AI67*$L$11/60*$M$11</f>
        <v>0.3213432</v>
      </c>
      <c r="AJ70" s="14" t="n">
        <f aca="false">AJ67*$L$11/60*$M$11</f>
        <v>0.3174444</v>
      </c>
      <c r="AK70" s="14" t="n">
        <f aca="false">AK67*$L$11/60*$M$11</f>
        <v>0.3379644</v>
      </c>
      <c r="AL70" s="14" t="n">
        <f aca="false">AL67*$L$11/60*$M$11</f>
        <v>0.346275</v>
      </c>
    </row>
    <row r="71" customFormat="false" ht="15" hidden="false" customHeight="false" outlineLevel="0" collapsed="false">
      <c r="A71" s="36" t="s">
        <v>426</v>
      </c>
    </row>
    <row r="72" customFormat="false" ht="15" hidden="false" customHeight="false" outlineLevel="0" collapsed="false">
      <c r="A72" s="6" t="s">
        <v>493</v>
      </c>
      <c r="C72" s="14" t="n">
        <f aca="false">C$27*$N$12</f>
        <v>0.4446</v>
      </c>
      <c r="D72" s="14" t="n">
        <f aca="false">D$27*$N$12</f>
        <v>0.530955</v>
      </c>
      <c r="E72" s="14" t="n">
        <f aca="false">E$27*$N$12</f>
        <v>0.57798</v>
      </c>
      <c r="F72" s="14" t="n">
        <f aca="false">F$27*$N$12</f>
        <v>0.669465</v>
      </c>
      <c r="G72" s="14" t="n">
        <f aca="false">G$27*$N$12</f>
        <v>0.73872</v>
      </c>
      <c r="H72" s="14" t="n">
        <f aca="false">H$27*$N$12</f>
        <v>0.7182</v>
      </c>
      <c r="I72" s="14" t="n">
        <f aca="false">I$27*$N$12</f>
        <v>0.87723</v>
      </c>
      <c r="J72" s="14" t="n">
        <f aca="false">J$27*$N$12</f>
        <v>0.91143</v>
      </c>
      <c r="K72" s="14" t="n">
        <f aca="false">K$27*$N$12</f>
        <v>1.01574</v>
      </c>
      <c r="L72" s="14" t="n">
        <f aca="false">L$27*$N$12</f>
        <v>1.04481</v>
      </c>
      <c r="M72" s="14" t="n">
        <f aca="false">M$27*$N$12</f>
        <v>1.15425</v>
      </c>
      <c r="N72" s="14" t="n">
        <f aca="false">N$27*$N$12</f>
        <v>1.223505</v>
      </c>
      <c r="O72" s="14" t="n">
        <f aca="false">O$27*$N$12</f>
        <v>1.24488</v>
      </c>
      <c r="P72" s="14" t="n">
        <f aca="false">P$27*$N$12</f>
        <v>1.362015</v>
      </c>
      <c r="Q72" s="14" t="n">
        <f aca="false">Q$27*$N$12</f>
        <v>1.37826</v>
      </c>
      <c r="R72" s="14" t="n">
        <f aca="false">R$27*$N$12</f>
        <v>1.500525</v>
      </c>
      <c r="S72" s="14" t="n">
        <f aca="false">S$27*$N$12</f>
        <v>1.56978</v>
      </c>
      <c r="T72" s="14" t="n">
        <f aca="false">T$27*$N$12</f>
        <v>1.517625</v>
      </c>
      <c r="U72" s="14" t="n">
        <f aca="false">U$27*$N$12</f>
        <v>1.70829</v>
      </c>
      <c r="V72" s="14" t="n">
        <f aca="false">V$27*$N$12</f>
        <v>1.71171</v>
      </c>
      <c r="W72" s="14" t="n">
        <f aca="false">W$27*$N$12</f>
        <v>1.8468</v>
      </c>
      <c r="X72" s="14" t="n">
        <f aca="false">X$27*$N$12</f>
        <v>1.84509</v>
      </c>
      <c r="Y72" s="14" t="n">
        <f aca="false">Y$27*$N$12</f>
        <v>1.98531</v>
      </c>
      <c r="Z72" s="14" t="n">
        <f aca="false">Z$27*$N$12</f>
        <v>2.054565</v>
      </c>
      <c r="AA72" s="14" t="n">
        <f aca="false">AA$27*$N$12</f>
        <v>2.04516</v>
      </c>
      <c r="AB72" s="14" t="n">
        <f aca="false">AB$27*$N$12</f>
        <v>2.193075</v>
      </c>
      <c r="AC72" s="14" t="n">
        <f aca="false">AC$27*$N$12</f>
        <v>2.17854</v>
      </c>
      <c r="AD72" s="14" t="n">
        <f aca="false">AD$27*$N$12</f>
        <v>2.331585</v>
      </c>
      <c r="AE72" s="14" t="n">
        <f aca="false">AE$27*$N$12</f>
        <v>2.40084</v>
      </c>
      <c r="AF72" s="14" t="n">
        <f aca="false">AF$27*$N$12</f>
        <v>2.19564</v>
      </c>
      <c r="AG72" s="14" t="n">
        <f aca="false">AG$27*$N$12</f>
        <v>2.53935</v>
      </c>
      <c r="AH72" s="14" t="n">
        <f aca="false">AH$27*$N$12</f>
        <v>2.51199</v>
      </c>
      <c r="AI72" s="14" t="n">
        <f aca="false">AI$27*$N$12</f>
        <v>2.67786</v>
      </c>
      <c r="AJ72" s="14" t="n">
        <f aca="false">AJ$27*$N$12</f>
        <v>2.64537</v>
      </c>
      <c r="AK72" s="14" t="n">
        <f aca="false">AK$27*$N$12</f>
        <v>2.81637</v>
      </c>
      <c r="AL72" s="14" t="n">
        <f aca="false">AL$27*$N$12</f>
        <v>2.885625</v>
      </c>
    </row>
    <row r="73" customFormat="false" ht="15" hidden="false" customHeight="false" outlineLevel="0" collapsed="false">
      <c r="A73" s="6" t="s">
        <v>494</v>
      </c>
      <c r="C73" s="14" t="n">
        <f aca="false">IF($E$12=0,0,C72*60/$E$12)</f>
        <v>0.8892</v>
      </c>
      <c r="D73" s="14" t="n">
        <f aca="false">IF($E$12=0,0,D72*60/$E$12)</f>
        <v>1.06191</v>
      </c>
      <c r="E73" s="14" t="n">
        <f aca="false">IF($E$12=0,0,E72*60/$E$12)</f>
        <v>1.15596</v>
      </c>
      <c r="F73" s="14" t="n">
        <f aca="false">IF($E$12=0,0,F72*60/$E$12)</f>
        <v>1.33893</v>
      </c>
      <c r="G73" s="14" t="n">
        <f aca="false">IF($E$12=0,0,G72*60/$E$12)</f>
        <v>1.47744</v>
      </c>
      <c r="H73" s="14" t="n">
        <f aca="false">IF($E$12=0,0,H72*60/$E$12)</f>
        <v>1.4364</v>
      </c>
      <c r="I73" s="14" t="n">
        <f aca="false">IF($E$12=0,0,I72*60/$E$12)</f>
        <v>1.75446</v>
      </c>
      <c r="J73" s="14" t="n">
        <f aca="false">IF($E$12=0,0,J72*60/$E$12)</f>
        <v>1.82286</v>
      </c>
      <c r="K73" s="14" t="n">
        <f aca="false">IF($E$12=0,0,K72*60/$E$12)</f>
        <v>2.03148</v>
      </c>
      <c r="L73" s="14" t="n">
        <f aca="false">IF($E$12=0,0,L72*60/$E$12)</f>
        <v>2.08962</v>
      </c>
      <c r="M73" s="14" t="n">
        <f aca="false">IF($E$12=0,0,M72*60/$E$12)</f>
        <v>2.3085</v>
      </c>
      <c r="N73" s="14" t="n">
        <f aca="false">IF($E$12=0,0,N72*60/$E$12)</f>
        <v>2.44701</v>
      </c>
      <c r="O73" s="14" t="n">
        <f aca="false">IF($E$12=0,0,O72*60/$E$12)</f>
        <v>2.48976</v>
      </c>
      <c r="P73" s="14" t="n">
        <f aca="false">IF($E$12=0,0,P72*60/$E$12)</f>
        <v>2.72403</v>
      </c>
      <c r="Q73" s="14" t="n">
        <f aca="false">IF($E$12=0,0,Q72*60/$E$12)</f>
        <v>2.75652</v>
      </c>
      <c r="R73" s="14" t="n">
        <f aca="false">IF($E$12=0,0,R72*60/$E$12)</f>
        <v>3.00105</v>
      </c>
      <c r="S73" s="14" t="n">
        <f aca="false">IF($E$12=0,0,S72*60/$E$12)</f>
        <v>3.13956</v>
      </c>
      <c r="T73" s="14" t="n">
        <f aca="false">IF($E$12=0,0,T72*60/$E$12)</f>
        <v>3.03525</v>
      </c>
      <c r="U73" s="14" t="n">
        <f aca="false">IF($E$12=0,0,U72*60/$E$12)</f>
        <v>3.41658</v>
      </c>
      <c r="V73" s="14" t="n">
        <f aca="false">IF($E$12=0,0,V72*60/$E$12)</f>
        <v>3.42342</v>
      </c>
      <c r="W73" s="14" t="n">
        <f aca="false">IF($E$12=0,0,W72*60/$E$12)</f>
        <v>3.6936</v>
      </c>
      <c r="X73" s="14" t="n">
        <f aca="false">IF($E$12=0,0,X72*60/$E$12)</f>
        <v>3.69018</v>
      </c>
      <c r="Y73" s="14" t="n">
        <f aca="false">IF($E$12=0,0,Y72*60/$E$12)</f>
        <v>3.97062</v>
      </c>
      <c r="Z73" s="14" t="n">
        <f aca="false">IF($E$12=0,0,Z72*60/$E$12)</f>
        <v>4.10913</v>
      </c>
      <c r="AA73" s="14" t="n">
        <f aca="false">IF($E$12=0,0,AA72*60/$E$12)</f>
        <v>4.09032</v>
      </c>
      <c r="AB73" s="14" t="n">
        <f aca="false">IF($E$12=0,0,AB72*60/$E$12)</f>
        <v>4.38615</v>
      </c>
      <c r="AC73" s="14" t="n">
        <f aca="false">IF($E$12=0,0,AC72*60/$E$12)</f>
        <v>4.35708</v>
      </c>
      <c r="AD73" s="14" t="n">
        <f aca="false">IF($E$12=0,0,AD72*60/$E$12)</f>
        <v>4.66317</v>
      </c>
      <c r="AE73" s="14" t="n">
        <f aca="false">IF($E$12=0,0,AE72*60/$E$12)</f>
        <v>4.80168</v>
      </c>
      <c r="AF73" s="14" t="n">
        <f aca="false">IF($E$12=0,0,AF72*60/$E$12)</f>
        <v>4.39128</v>
      </c>
      <c r="AG73" s="14" t="n">
        <f aca="false">IF($E$12=0,0,AG72*60/$E$12)</f>
        <v>5.0787</v>
      </c>
      <c r="AH73" s="14" t="n">
        <f aca="false">IF($E$12=0,0,AH72*60/$E$12)</f>
        <v>5.02398</v>
      </c>
      <c r="AI73" s="14" t="n">
        <f aca="false">IF($E$12=0,0,AI72*60/$E$12)</f>
        <v>5.35572</v>
      </c>
      <c r="AJ73" s="14" t="n">
        <f aca="false">IF($E$12=0,0,AJ72*60/$E$12)</f>
        <v>5.29074</v>
      </c>
      <c r="AK73" s="14" t="n">
        <f aca="false">IF($E$12=0,0,AK72*60/$E$12)</f>
        <v>5.63274</v>
      </c>
      <c r="AL73" s="14" t="n">
        <f aca="false">IF($E$12=0,0,AL72*60/$E$12)</f>
        <v>5.77125</v>
      </c>
    </row>
    <row r="74" customFormat="false" ht="15" hidden="false" customHeight="false" outlineLevel="0" collapsed="false">
      <c r="A74" s="6" t="s">
        <v>495</v>
      </c>
      <c r="C74" s="22" t="n">
        <f aca="false">C73*$H$12</f>
        <v>71.136</v>
      </c>
      <c r="D74" s="22" t="n">
        <f aca="false">D73*$H$12</f>
        <v>84.9528</v>
      </c>
      <c r="E74" s="22" t="n">
        <f aca="false">E73*$H$12</f>
        <v>92.4768</v>
      </c>
      <c r="F74" s="22" t="n">
        <f aca="false">F73*$H$12</f>
        <v>107.1144</v>
      </c>
      <c r="G74" s="22" t="n">
        <f aca="false">G73*$H$12</f>
        <v>118.1952</v>
      </c>
      <c r="H74" s="22" t="n">
        <f aca="false">H73*$H$12</f>
        <v>114.912</v>
      </c>
      <c r="I74" s="22" t="n">
        <f aca="false">I73*$H$12</f>
        <v>140.3568</v>
      </c>
      <c r="J74" s="22" t="n">
        <f aca="false">J73*$H$12</f>
        <v>145.8288</v>
      </c>
      <c r="K74" s="22" t="n">
        <f aca="false">K73*$H$12</f>
        <v>162.5184</v>
      </c>
      <c r="L74" s="22" t="n">
        <f aca="false">L73*$H$12</f>
        <v>167.1696</v>
      </c>
      <c r="M74" s="22" t="n">
        <f aca="false">M73*$H$12</f>
        <v>184.68</v>
      </c>
      <c r="N74" s="22" t="n">
        <f aca="false">N73*$H$12</f>
        <v>195.7608</v>
      </c>
      <c r="O74" s="22" t="n">
        <f aca="false">O73*$H$12</f>
        <v>199.1808</v>
      </c>
      <c r="P74" s="22" t="n">
        <f aca="false">P73*$H$12</f>
        <v>217.9224</v>
      </c>
      <c r="Q74" s="22" t="n">
        <f aca="false">Q73*$H$12</f>
        <v>220.5216</v>
      </c>
      <c r="R74" s="22" t="n">
        <f aca="false">R73*$H$12</f>
        <v>240.084</v>
      </c>
      <c r="S74" s="22" t="n">
        <f aca="false">S73*$H$12</f>
        <v>251.1648</v>
      </c>
      <c r="T74" s="22" t="n">
        <f aca="false">T73*$H$12</f>
        <v>242.82</v>
      </c>
      <c r="U74" s="22" t="n">
        <f aca="false">U73*$H$12</f>
        <v>273.3264</v>
      </c>
      <c r="V74" s="22" t="n">
        <f aca="false">V73*$H$12</f>
        <v>273.8736</v>
      </c>
      <c r="W74" s="22" t="n">
        <f aca="false">W73*$H$12</f>
        <v>295.488</v>
      </c>
      <c r="X74" s="22" t="n">
        <f aca="false">X73*$H$12</f>
        <v>295.2144</v>
      </c>
      <c r="Y74" s="22" t="n">
        <f aca="false">Y73*$H$12</f>
        <v>317.6496</v>
      </c>
      <c r="Z74" s="22" t="n">
        <f aca="false">Z73*$H$12</f>
        <v>328.7304</v>
      </c>
      <c r="AA74" s="22" t="n">
        <f aca="false">AA73*$H$12</f>
        <v>327.2256</v>
      </c>
      <c r="AB74" s="22" t="n">
        <f aca="false">AB73*$H$12</f>
        <v>350.892</v>
      </c>
      <c r="AC74" s="22" t="n">
        <f aca="false">AC73*$H$12</f>
        <v>348.5664</v>
      </c>
      <c r="AD74" s="22" t="n">
        <f aca="false">AD73*$H$12</f>
        <v>373.0536</v>
      </c>
      <c r="AE74" s="22" t="n">
        <f aca="false">AE73*$H$12</f>
        <v>384.1344</v>
      </c>
      <c r="AF74" s="22" t="n">
        <f aca="false">AF73*$H$12</f>
        <v>351.3024</v>
      </c>
      <c r="AG74" s="22" t="n">
        <f aca="false">AG73*$H$12</f>
        <v>406.296</v>
      </c>
      <c r="AH74" s="22" t="n">
        <f aca="false">AH73*$H$12</f>
        <v>401.9184</v>
      </c>
      <c r="AI74" s="22" t="n">
        <f aca="false">AI73*$H$12</f>
        <v>428.4576</v>
      </c>
      <c r="AJ74" s="22" t="n">
        <f aca="false">AJ73*$H$12</f>
        <v>423.2592</v>
      </c>
      <c r="AK74" s="22" t="n">
        <f aca="false">AK73*$H$12</f>
        <v>450.6192</v>
      </c>
      <c r="AL74" s="22" t="n">
        <f aca="false">AL73*$H$12</f>
        <v>461.7</v>
      </c>
    </row>
    <row r="75" customFormat="false" ht="15" hidden="false" customHeight="false" outlineLevel="0" collapsed="false">
      <c r="A75" s="6" t="s">
        <v>496</v>
      </c>
      <c r="C75" s="22" t="n">
        <f aca="false">C73*$K$12</f>
        <v>3.1977855</v>
      </c>
      <c r="D75" s="22" t="n">
        <f aca="false">D73*$K$12</f>
        <v>3.8188938375</v>
      </c>
      <c r="E75" s="22" t="n">
        <f aca="false">E73*$K$12</f>
        <v>4.15712115</v>
      </c>
      <c r="F75" s="22" t="n">
        <f aca="false">F73*$K$12</f>
        <v>4.8151270125</v>
      </c>
      <c r="G75" s="22" t="n">
        <f aca="false">G73*$K$12</f>
        <v>5.3132436</v>
      </c>
      <c r="H75" s="22" t="n">
        <f aca="false">H73*$K$12</f>
        <v>5.1656535</v>
      </c>
      <c r="I75" s="22" t="n">
        <f aca="false">I73*$K$12</f>
        <v>6.309476775</v>
      </c>
      <c r="J75" s="22" t="n">
        <f aca="false">J73*$K$12</f>
        <v>6.555460275</v>
      </c>
      <c r="K75" s="22" t="n">
        <f aca="false">K73*$K$12</f>
        <v>7.30570995</v>
      </c>
      <c r="L75" s="22" t="n">
        <f aca="false">L73*$K$12</f>
        <v>7.514795925</v>
      </c>
      <c r="M75" s="22" t="n">
        <f aca="false">M73*$K$12</f>
        <v>8.301943125</v>
      </c>
      <c r="N75" s="22" t="n">
        <f aca="false">N73*$K$12</f>
        <v>8.8000597125</v>
      </c>
      <c r="O75" s="22" t="n">
        <f aca="false">O73*$K$12</f>
        <v>8.9537994</v>
      </c>
      <c r="P75" s="22" t="n">
        <f aca="false">P73*$K$12</f>
        <v>9.7962928875</v>
      </c>
      <c r="Q75" s="22" t="n">
        <f aca="false">Q73*$K$12</f>
        <v>9.91313505</v>
      </c>
      <c r="R75" s="22" t="n">
        <f aca="false">R73*$K$12</f>
        <v>10.7925260625</v>
      </c>
      <c r="S75" s="22" t="n">
        <f aca="false">S73*$K$12</f>
        <v>11.29064265</v>
      </c>
      <c r="T75" s="22" t="n">
        <f aca="false">T73*$K$12</f>
        <v>10.9155178125</v>
      </c>
      <c r="U75" s="22" t="n">
        <f aca="false">U73*$K$12</f>
        <v>12.286875825</v>
      </c>
      <c r="V75" s="22" t="n">
        <f aca="false">V73*$K$12</f>
        <v>12.311474175</v>
      </c>
      <c r="W75" s="22" t="n">
        <f aca="false">W73*$K$12</f>
        <v>13.283109</v>
      </c>
      <c r="X75" s="22" t="n">
        <f aca="false">X73*$K$12</f>
        <v>13.270809825</v>
      </c>
      <c r="Y75" s="22" t="n">
        <f aca="false">Y73*$K$12</f>
        <v>14.279342175</v>
      </c>
      <c r="Z75" s="22" t="n">
        <f aca="false">Z73*$K$12</f>
        <v>14.7774587625</v>
      </c>
      <c r="AA75" s="22" t="n">
        <f aca="false">AA73*$K$12</f>
        <v>14.7098133</v>
      </c>
      <c r="AB75" s="22" t="n">
        <f aca="false">AB73*$K$12</f>
        <v>15.7736919375</v>
      </c>
      <c r="AC75" s="22" t="n">
        <f aca="false">AC73*$K$12</f>
        <v>15.66914895</v>
      </c>
      <c r="AD75" s="22" t="n">
        <f aca="false">AD73*$K$12</f>
        <v>16.7699251125</v>
      </c>
      <c r="AE75" s="22" t="n">
        <f aca="false">AE73*$K$12</f>
        <v>17.2680417</v>
      </c>
      <c r="AF75" s="22" t="n">
        <f aca="false">AF73*$K$12</f>
        <v>15.7921407</v>
      </c>
      <c r="AG75" s="22" t="n">
        <f aca="false">AG73*$K$12</f>
        <v>18.264274875</v>
      </c>
      <c r="AH75" s="22" t="n">
        <f aca="false">AH73*$K$12</f>
        <v>18.067488075</v>
      </c>
      <c r="AI75" s="22" t="n">
        <f aca="false">AI73*$K$12</f>
        <v>19.26050805</v>
      </c>
      <c r="AJ75" s="22" t="n">
        <f aca="false">AJ73*$K$12</f>
        <v>19.026823725</v>
      </c>
      <c r="AK75" s="22" t="n">
        <f aca="false">AK73*$K$12</f>
        <v>20.256741225</v>
      </c>
      <c r="AL75" s="22" t="n">
        <f aca="false">AL73*$K$12</f>
        <v>20.7548578125</v>
      </c>
    </row>
    <row r="76" customFormat="false" ht="15" hidden="false" customHeight="false" outlineLevel="0" collapsed="false">
      <c r="A76" s="6" t="s">
        <v>497</v>
      </c>
      <c r="C76" s="14" t="n">
        <f aca="false">C73*$L$12/60*$M$12</f>
        <v>0.11115</v>
      </c>
      <c r="D76" s="14" t="n">
        <f aca="false">D73*$L$12/60*$M$12</f>
        <v>0.13273875</v>
      </c>
      <c r="E76" s="14" t="n">
        <f aca="false">E73*$L$12/60*$M$12</f>
        <v>0.144495</v>
      </c>
      <c r="F76" s="14" t="n">
        <f aca="false">F73*$L$12/60*$M$12</f>
        <v>0.16736625</v>
      </c>
      <c r="G76" s="14" t="n">
        <f aca="false">G73*$L$12/60*$M$12</f>
        <v>0.18468</v>
      </c>
      <c r="H76" s="14" t="n">
        <f aca="false">H73*$L$12/60*$M$12</f>
        <v>0.17955</v>
      </c>
      <c r="I76" s="14" t="n">
        <f aca="false">I73*$L$12/60*$M$12</f>
        <v>0.2193075</v>
      </c>
      <c r="J76" s="14" t="n">
        <f aca="false">J73*$L$12/60*$M$12</f>
        <v>0.2278575</v>
      </c>
      <c r="K76" s="14" t="n">
        <f aca="false">K73*$L$12/60*$M$12</f>
        <v>0.253935</v>
      </c>
      <c r="L76" s="14" t="n">
        <f aca="false">L73*$L$12/60*$M$12</f>
        <v>0.2612025</v>
      </c>
      <c r="M76" s="14" t="n">
        <f aca="false">M73*$L$12/60*$M$12</f>
        <v>0.2885625</v>
      </c>
      <c r="N76" s="14" t="n">
        <f aca="false">N73*$L$12/60*$M$12</f>
        <v>0.30587625</v>
      </c>
      <c r="O76" s="14" t="n">
        <f aca="false">O73*$L$12/60*$M$12</f>
        <v>0.31122</v>
      </c>
      <c r="P76" s="14" t="n">
        <f aca="false">P73*$L$12/60*$M$12</f>
        <v>0.34050375</v>
      </c>
      <c r="Q76" s="14" t="n">
        <f aca="false">Q73*$L$12/60*$M$12</f>
        <v>0.344565</v>
      </c>
      <c r="R76" s="14" t="n">
        <f aca="false">R73*$L$12/60*$M$12</f>
        <v>0.37513125</v>
      </c>
      <c r="S76" s="14" t="n">
        <f aca="false">S73*$L$12/60*$M$12</f>
        <v>0.392445</v>
      </c>
      <c r="T76" s="14" t="n">
        <f aca="false">T73*$L$12/60*$M$12</f>
        <v>0.37940625</v>
      </c>
      <c r="U76" s="14" t="n">
        <f aca="false">U73*$L$12/60*$M$12</f>
        <v>0.4270725</v>
      </c>
      <c r="V76" s="14" t="n">
        <f aca="false">V73*$L$12/60*$M$12</f>
        <v>0.4279275</v>
      </c>
      <c r="W76" s="14" t="n">
        <f aca="false">W73*$L$12/60*$M$12</f>
        <v>0.4617</v>
      </c>
      <c r="X76" s="14" t="n">
        <f aca="false">X73*$L$12/60*$M$12</f>
        <v>0.4612725</v>
      </c>
      <c r="Y76" s="14" t="n">
        <f aca="false">Y73*$L$12/60*$M$12</f>
        <v>0.4963275</v>
      </c>
      <c r="Z76" s="14" t="n">
        <f aca="false">Z73*$L$12/60*$M$12</f>
        <v>0.51364125</v>
      </c>
      <c r="AA76" s="14" t="n">
        <f aca="false">AA73*$L$12/60*$M$12</f>
        <v>0.51129</v>
      </c>
      <c r="AB76" s="14" t="n">
        <f aca="false">AB73*$L$12/60*$M$12</f>
        <v>0.54826875</v>
      </c>
      <c r="AC76" s="14" t="n">
        <f aca="false">AC73*$L$12/60*$M$12</f>
        <v>0.544635</v>
      </c>
      <c r="AD76" s="14" t="n">
        <f aca="false">AD73*$L$12/60*$M$12</f>
        <v>0.58289625</v>
      </c>
      <c r="AE76" s="14" t="n">
        <f aca="false">AE73*$L$12/60*$M$12</f>
        <v>0.60021</v>
      </c>
      <c r="AF76" s="14" t="n">
        <f aca="false">AF73*$L$12/60*$M$12</f>
        <v>0.54891</v>
      </c>
      <c r="AG76" s="14" t="n">
        <f aca="false">AG73*$L$12/60*$M$12</f>
        <v>0.6348375</v>
      </c>
      <c r="AH76" s="14" t="n">
        <f aca="false">AH73*$L$12/60*$M$12</f>
        <v>0.6279975</v>
      </c>
      <c r="AI76" s="14" t="n">
        <f aca="false">AI73*$L$12/60*$M$12</f>
        <v>0.669465</v>
      </c>
      <c r="AJ76" s="14" t="n">
        <f aca="false">AJ73*$L$12/60*$M$12</f>
        <v>0.6613425</v>
      </c>
      <c r="AK76" s="14" t="n">
        <f aca="false">AK73*$L$12/60*$M$12</f>
        <v>0.7040925</v>
      </c>
      <c r="AL76" s="14" t="n">
        <f aca="false">AL73*$L$12/60*$M$12</f>
        <v>0.72140625</v>
      </c>
    </row>
    <row r="77" customFormat="false" ht="15" hidden="false" customHeight="false" outlineLevel="0" collapsed="false">
      <c r="A77" s="36" t="s">
        <v>479</v>
      </c>
    </row>
    <row r="78" customFormat="false" ht="15" hidden="false" customHeight="false" outlineLevel="0" collapsed="false">
      <c r="A78" s="6" t="s">
        <v>493</v>
      </c>
      <c r="C78" s="14" t="n">
        <f aca="false">C$27*$N$13</f>
        <v>3.5568</v>
      </c>
      <c r="D78" s="14" t="n">
        <f aca="false">D$27*$N$13</f>
        <v>4.24764</v>
      </c>
      <c r="E78" s="14" t="n">
        <f aca="false">E$27*$N$13</f>
        <v>4.62384</v>
      </c>
      <c r="F78" s="14" t="n">
        <f aca="false">F$27*$N$13</f>
        <v>5.35572</v>
      </c>
      <c r="G78" s="14" t="n">
        <f aca="false">G$27*$N$13</f>
        <v>5.90976</v>
      </c>
      <c r="H78" s="14" t="n">
        <f aca="false">H$27*$N$13</f>
        <v>5.7456</v>
      </c>
      <c r="I78" s="14" t="n">
        <f aca="false">I$27*$N$13</f>
        <v>7.01784</v>
      </c>
      <c r="J78" s="14" t="n">
        <f aca="false">J$27*$N$13</f>
        <v>7.29144</v>
      </c>
      <c r="K78" s="14" t="n">
        <f aca="false">K$27*$N$13</f>
        <v>8.12592</v>
      </c>
      <c r="L78" s="14" t="n">
        <f aca="false">L$27*$N$13</f>
        <v>8.35848</v>
      </c>
      <c r="M78" s="14" t="n">
        <f aca="false">M$27*$N$13</f>
        <v>9.234</v>
      </c>
      <c r="N78" s="14" t="n">
        <f aca="false">N$27*$N$13</f>
        <v>9.78804</v>
      </c>
      <c r="O78" s="14" t="n">
        <f aca="false">O$27*$N$13</f>
        <v>9.95904</v>
      </c>
      <c r="P78" s="14" t="n">
        <f aca="false">P$27*$N$13</f>
        <v>10.89612</v>
      </c>
      <c r="Q78" s="14" t="n">
        <f aca="false">Q$27*$N$13</f>
        <v>11.02608</v>
      </c>
      <c r="R78" s="14" t="n">
        <f aca="false">R$27*$N$13</f>
        <v>12.0042</v>
      </c>
      <c r="S78" s="14" t="n">
        <f aca="false">S$27*$N$13</f>
        <v>12.55824</v>
      </c>
      <c r="T78" s="14" t="n">
        <f aca="false">T$27*$N$13</f>
        <v>12.141</v>
      </c>
      <c r="U78" s="14" t="n">
        <f aca="false">U$27*$N$13</f>
        <v>13.66632</v>
      </c>
      <c r="V78" s="14" t="n">
        <f aca="false">V$27*$N$13</f>
        <v>13.69368</v>
      </c>
      <c r="W78" s="14" t="n">
        <f aca="false">W$27*$N$13</f>
        <v>14.7744</v>
      </c>
      <c r="X78" s="14" t="n">
        <f aca="false">X$27*$N$13</f>
        <v>14.76072</v>
      </c>
      <c r="Y78" s="14" t="n">
        <f aca="false">Y$27*$N$13</f>
        <v>15.88248</v>
      </c>
      <c r="Z78" s="14" t="n">
        <f aca="false">Z$27*$N$13</f>
        <v>16.43652</v>
      </c>
      <c r="AA78" s="14" t="n">
        <f aca="false">AA$27*$N$13</f>
        <v>16.36128</v>
      </c>
      <c r="AB78" s="14" t="n">
        <f aca="false">AB$27*$N$13</f>
        <v>17.5446</v>
      </c>
      <c r="AC78" s="14" t="n">
        <f aca="false">AC$27*$N$13</f>
        <v>17.42832</v>
      </c>
      <c r="AD78" s="14" t="n">
        <f aca="false">AD$27*$N$13</f>
        <v>18.65268</v>
      </c>
      <c r="AE78" s="14" t="n">
        <f aca="false">AE$27*$N$13</f>
        <v>19.20672</v>
      </c>
      <c r="AF78" s="14" t="n">
        <f aca="false">AF$27*$N$13</f>
        <v>17.56512</v>
      </c>
      <c r="AG78" s="14" t="n">
        <f aca="false">AG$27*$N$13</f>
        <v>20.3148</v>
      </c>
      <c r="AH78" s="14" t="n">
        <f aca="false">AH$27*$N$13</f>
        <v>20.09592</v>
      </c>
      <c r="AI78" s="14" t="n">
        <f aca="false">AI$27*$N$13</f>
        <v>21.42288</v>
      </c>
      <c r="AJ78" s="14" t="n">
        <f aca="false">AJ$27*$N$13</f>
        <v>21.16296</v>
      </c>
      <c r="AK78" s="14" t="n">
        <f aca="false">AK$27*$N$13</f>
        <v>22.53096</v>
      </c>
      <c r="AL78" s="14" t="n">
        <f aca="false">AL$27*$N$13</f>
        <v>23.085</v>
      </c>
    </row>
    <row r="79" customFormat="false" ht="15" hidden="false" customHeight="false" outlineLevel="0" collapsed="false">
      <c r="A79" s="6" t="s">
        <v>494</v>
      </c>
      <c r="C79" s="14" t="n">
        <f aca="false">IF($E$13=0,0,C78*60/$E$13)</f>
        <v>4.3776</v>
      </c>
      <c r="D79" s="14" t="n">
        <f aca="false">IF($E$13=0,0,D78*60/$E$13)</f>
        <v>5.22786461538462</v>
      </c>
      <c r="E79" s="14" t="n">
        <f aca="false">IF($E$13=0,0,E78*60/$E$13)</f>
        <v>5.69088</v>
      </c>
      <c r="F79" s="14" t="n">
        <f aca="false">IF($E$13=0,0,F78*60/$E$13)</f>
        <v>6.59165538461538</v>
      </c>
      <c r="G79" s="14" t="n">
        <f aca="false">IF($E$13=0,0,G78*60/$E$13)</f>
        <v>7.27355076923077</v>
      </c>
      <c r="H79" s="14" t="n">
        <f aca="false">IF($E$13=0,0,H78*60/$E$13)</f>
        <v>7.07150769230769</v>
      </c>
      <c r="I79" s="14" t="n">
        <f aca="false">IF($E$13=0,0,I78*60/$E$13)</f>
        <v>8.63734153846154</v>
      </c>
      <c r="J79" s="14" t="n">
        <f aca="false">IF($E$13=0,0,J78*60/$E$13)</f>
        <v>8.97408</v>
      </c>
      <c r="K79" s="14" t="n">
        <f aca="false">IF($E$13=0,0,K78*60/$E$13)</f>
        <v>10.0011323076923</v>
      </c>
      <c r="L79" s="14" t="n">
        <f aca="false">IF($E$13=0,0,L78*60/$E$13)</f>
        <v>10.28736</v>
      </c>
      <c r="M79" s="14" t="n">
        <f aca="false">IF($E$13=0,0,M78*60/$E$13)</f>
        <v>11.3649230769231</v>
      </c>
      <c r="N79" s="14" t="n">
        <f aca="false">IF($E$13=0,0,N78*60/$E$13)</f>
        <v>12.0468184615385</v>
      </c>
      <c r="O79" s="14" t="n">
        <f aca="false">IF($E$13=0,0,O78*60/$E$13)</f>
        <v>12.25728</v>
      </c>
      <c r="P79" s="14" t="n">
        <f aca="false">IF($E$13=0,0,P78*60/$E$13)</f>
        <v>13.4106092307692</v>
      </c>
      <c r="Q79" s="14" t="n">
        <f aca="false">IF($E$13=0,0,Q78*60/$E$13)</f>
        <v>13.57056</v>
      </c>
      <c r="R79" s="14" t="n">
        <f aca="false">IF($E$13=0,0,R78*60/$E$13)</f>
        <v>14.7744</v>
      </c>
      <c r="S79" s="14" t="n">
        <f aca="false">IF($E$13=0,0,S78*60/$E$13)</f>
        <v>15.4562953846154</v>
      </c>
      <c r="T79" s="14" t="n">
        <f aca="false">IF($E$13=0,0,T78*60/$E$13)</f>
        <v>14.9427692307692</v>
      </c>
      <c r="U79" s="14" t="n">
        <f aca="false">IF($E$13=0,0,U78*60/$E$13)</f>
        <v>16.8200861538462</v>
      </c>
      <c r="V79" s="14" t="n">
        <f aca="false">IF($E$13=0,0,V78*60/$E$13)</f>
        <v>16.85376</v>
      </c>
      <c r="W79" s="14" t="n">
        <f aca="false">IF($E$13=0,0,W78*60/$E$13)</f>
        <v>18.1838769230769</v>
      </c>
      <c r="X79" s="14" t="n">
        <f aca="false">IF($E$13=0,0,X78*60/$E$13)</f>
        <v>18.16704</v>
      </c>
      <c r="Y79" s="14" t="n">
        <f aca="false">IF($E$13=0,0,Y78*60/$E$13)</f>
        <v>19.5476676923077</v>
      </c>
      <c r="Z79" s="14" t="n">
        <f aca="false">IF($E$13=0,0,Z78*60/$E$13)</f>
        <v>20.2295630769231</v>
      </c>
      <c r="AA79" s="14" t="n">
        <f aca="false">IF($E$13=0,0,AA78*60/$E$13)</f>
        <v>20.13696</v>
      </c>
      <c r="AB79" s="14" t="n">
        <f aca="false">IF($E$13=0,0,AB78*60/$E$13)</f>
        <v>21.5933538461538</v>
      </c>
      <c r="AC79" s="14" t="n">
        <f aca="false">IF($E$13=0,0,AC78*60/$E$13)</f>
        <v>21.45024</v>
      </c>
      <c r="AD79" s="14" t="n">
        <f aca="false">IF($E$13=0,0,AD78*60/$E$13)</f>
        <v>22.9571446153846</v>
      </c>
      <c r="AE79" s="14" t="n">
        <f aca="false">IF($E$13=0,0,AE78*60/$E$13)</f>
        <v>23.63904</v>
      </c>
      <c r="AF79" s="14" t="n">
        <f aca="false">IF($E$13=0,0,AF78*60/$E$13)</f>
        <v>21.6186092307692</v>
      </c>
      <c r="AG79" s="14" t="n">
        <f aca="false">IF($E$13=0,0,AG78*60/$E$13)</f>
        <v>25.0028307692308</v>
      </c>
      <c r="AH79" s="14" t="n">
        <f aca="false">IF($E$13=0,0,AH78*60/$E$13)</f>
        <v>24.73344</v>
      </c>
      <c r="AI79" s="14" t="n">
        <f aca="false">IF($E$13=0,0,AI78*60/$E$13)</f>
        <v>26.3666215384615</v>
      </c>
      <c r="AJ79" s="14" t="n">
        <f aca="false">IF($E$13=0,0,AJ78*60/$E$13)</f>
        <v>26.04672</v>
      </c>
      <c r="AK79" s="14" t="n">
        <f aca="false">IF($E$13=0,0,AK78*60/$E$13)</f>
        <v>27.7304123076923</v>
      </c>
      <c r="AL79" s="14" t="n">
        <f aca="false">IF($E$13=0,0,AL78*60/$E$13)</f>
        <v>28.4123076923077</v>
      </c>
    </row>
    <row r="80" customFormat="false" ht="15" hidden="false" customHeight="false" outlineLevel="0" collapsed="false">
      <c r="A80" s="6" t="s">
        <v>495</v>
      </c>
      <c r="C80" s="22" t="n">
        <f aca="false">C79*$H$13</f>
        <v>459.648</v>
      </c>
      <c r="D80" s="22" t="n">
        <f aca="false">D79*$H$13</f>
        <v>548.925784615385</v>
      </c>
      <c r="E80" s="22" t="n">
        <f aca="false">E79*$H$13</f>
        <v>597.5424</v>
      </c>
      <c r="F80" s="22" t="n">
        <f aca="false">F79*$H$13</f>
        <v>692.123815384615</v>
      </c>
      <c r="G80" s="22" t="n">
        <f aca="false">G79*$H$13</f>
        <v>763.722830769231</v>
      </c>
      <c r="H80" s="22" t="n">
        <f aca="false">H79*$H$13</f>
        <v>742.508307692308</v>
      </c>
      <c r="I80" s="22" t="n">
        <f aca="false">I79*$H$13</f>
        <v>906.920861538462</v>
      </c>
      <c r="J80" s="22" t="n">
        <f aca="false">J79*$H$13</f>
        <v>942.2784</v>
      </c>
      <c r="K80" s="22" t="n">
        <f aca="false">K79*$H$13</f>
        <v>1050.11889230769</v>
      </c>
      <c r="L80" s="22" t="n">
        <f aca="false">L79*$H$13</f>
        <v>1080.1728</v>
      </c>
      <c r="M80" s="22" t="n">
        <f aca="false">M79*$H$13</f>
        <v>1193.31692307692</v>
      </c>
      <c r="N80" s="22" t="n">
        <f aca="false">N79*$H$13</f>
        <v>1264.91593846154</v>
      </c>
      <c r="O80" s="22" t="n">
        <f aca="false">O79*$H$13</f>
        <v>1287.0144</v>
      </c>
      <c r="P80" s="22" t="n">
        <f aca="false">P79*$H$13</f>
        <v>1408.11396923077</v>
      </c>
      <c r="Q80" s="22" t="n">
        <f aca="false">Q79*$H$13</f>
        <v>1424.9088</v>
      </c>
      <c r="R80" s="22" t="n">
        <f aca="false">R79*$H$13</f>
        <v>1551.312</v>
      </c>
      <c r="S80" s="22" t="n">
        <f aca="false">S79*$H$13</f>
        <v>1622.91101538462</v>
      </c>
      <c r="T80" s="22" t="n">
        <f aca="false">T79*$H$13</f>
        <v>1568.99076923077</v>
      </c>
      <c r="U80" s="22" t="n">
        <f aca="false">U79*$H$13</f>
        <v>1766.10904615385</v>
      </c>
      <c r="V80" s="22" t="n">
        <f aca="false">V79*$H$13</f>
        <v>1769.6448</v>
      </c>
      <c r="W80" s="22" t="n">
        <f aca="false">W79*$H$13</f>
        <v>1909.30707692308</v>
      </c>
      <c r="X80" s="22" t="n">
        <f aca="false">X79*$H$13</f>
        <v>1907.5392</v>
      </c>
      <c r="Y80" s="22" t="n">
        <f aca="false">Y79*$H$13</f>
        <v>2052.50510769231</v>
      </c>
      <c r="Z80" s="22" t="n">
        <f aca="false">Z79*$H$13</f>
        <v>2124.10412307692</v>
      </c>
      <c r="AA80" s="22" t="n">
        <f aca="false">AA79*$H$13</f>
        <v>2114.3808</v>
      </c>
      <c r="AB80" s="22" t="n">
        <f aca="false">AB79*$H$13</f>
        <v>2267.30215384615</v>
      </c>
      <c r="AC80" s="22" t="n">
        <f aca="false">AC79*$H$13</f>
        <v>2252.2752</v>
      </c>
      <c r="AD80" s="22" t="n">
        <f aca="false">AD79*$H$13</f>
        <v>2410.50018461539</v>
      </c>
      <c r="AE80" s="22" t="n">
        <f aca="false">AE79*$H$13</f>
        <v>2482.0992</v>
      </c>
      <c r="AF80" s="22" t="n">
        <f aca="false">AF79*$H$13</f>
        <v>2269.95396923077</v>
      </c>
      <c r="AG80" s="22" t="n">
        <f aca="false">AG79*$H$13</f>
        <v>2625.29723076923</v>
      </c>
      <c r="AH80" s="22" t="n">
        <f aca="false">AH79*$H$13</f>
        <v>2597.0112</v>
      </c>
      <c r="AI80" s="22" t="n">
        <f aca="false">AI79*$H$13</f>
        <v>2768.49526153846</v>
      </c>
      <c r="AJ80" s="22" t="n">
        <f aca="false">AJ79*$H$13</f>
        <v>2734.9056</v>
      </c>
      <c r="AK80" s="22" t="n">
        <f aca="false">AK79*$H$13</f>
        <v>2911.69329230769</v>
      </c>
      <c r="AL80" s="22" t="n">
        <f aca="false">AL79*$H$13</f>
        <v>2983.29230769231</v>
      </c>
    </row>
    <row r="81" customFormat="false" ht="15" hidden="false" customHeight="false" outlineLevel="0" collapsed="false">
      <c r="A81" s="6" t="s">
        <v>496</v>
      </c>
      <c r="C81" s="22" t="n">
        <f aca="false">C79*$K$13</f>
        <v>25.4040336</v>
      </c>
      <c r="D81" s="22" t="n">
        <f aca="false">D79*$K$13</f>
        <v>30.3382785876923</v>
      </c>
      <c r="E81" s="22" t="n">
        <f aca="false">E79*$K$13</f>
        <v>33.02524368</v>
      </c>
      <c r="F81" s="22" t="n">
        <f aca="false">F79*$K$13</f>
        <v>38.2526121323077</v>
      </c>
      <c r="G81" s="22" t="n">
        <f aca="false">G79*$K$13</f>
        <v>42.2097789046154</v>
      </c>
      <c r="H81" s="22" t="n">
        <f aca="false">H79*$K$13</f>
        <v>41.0372850461539</v>
      </c>
      <c r="I81" s="22" t="n">
        <f aca="false">I79*$K$13</f>
        <v>50.1241124492308</v>
      </c>
      <c r="J81" s="22" t="n">
        <f aca="false">J79*$K$13</f>
        <v>52.07826888</v>
      </c>
      <c r="K81" s="22" t="n">
        <f aca="false">K79*$K$13</f>
        <v>58.0384459938462</v>
      </c>
      <c r="L81" s="22" t="n">
        <f aca="false">L79*$K$13</f>
        <v>59.69947896</v>
      </c>
      <c r="M81" s="22" t="n">
        <f aca="false">M79*$K$13</f>
        <v>65.9527795384615</v>
      </c>
      <c r="N81" s="22" t="n">
        <f aca="false">N79*$K$13</f>
        <v>69.9099463107692</v>
      </c>
      <c r="O81" s="22" t="n">
        <f aca="false">O79*$K$13</f>
        <v>71.13129408</v>
      </c>
      <c r="P81" s="22" t="n">
        <f aca="false">P79*$K$13</f>
        <v>77.8242798553846</v>
      </c>
      <c r="Q81" s="22" t="n">
        <f aca="false">Q79*$K$13</f>
        <v>78.75250416</v>
      </c>
      <c r="R81" s="22" t="n">
        <f aca="false">R79*$K$13</f>
        <v>85.7386134</v>
      </c>
      <c r="S81" s="22" t="n">
        <f aca="false">S79*$K$13</f>
        <v>89.6957801723077</v>
      </c>
      <c r="T81" s="22" t="n">
        <f aca="false">T79*$K$13</f>
        <v>86.7156916153846</v>
      </c>
      <c r="U81" s="22" t="n">
        <f aca="false">U79*$K$13</f>
        <v>97.6101137169231</v>
      </c>
      <c r="V81" s="22" t="n">
        <f aca="false">V79*$K$13</f>
        <v>97.80552936</v>
      </c>
      <c r="W81" s="22" t="n">
        <f aca="false">W79*$K$13</f>
        <v>105.524447261538</v>
      </c>
      <c r="X81" s="22" t="n">
        <f aca="false">X79*$K$13</f>
        <v>105.42673944</v>
      </c>
      <c r="Y81" s="22" t="n">
        <f aca="false">Y79*$K$13</f>
        <v>113.438780806154</v>
      </c>
      <c r="Z81" s="22" t="n">
        <f aca="false">Z79*$K$13</f>
        <v>117.395947578462</v>
      </c>
      <c r="AA81" s="22" t="n">
        <f aca="false">AA79*$K$13</f>
        <v>116.85855456</v>
      </c>
      <c r="AB81" s="22" t="n">
        <f aca="false">AB79*$K$13</f>
        <v>125.310281123077</v>
      </c>
      <c r="AC81" s="22" t="n">
        <f aca="false">AC79*$K$13</f>
        <v>124.47976464</v>
      </c>
      <c r="AD81" s="22" t="n">
        <f aca="false">AD79*$K$13</f>
        <v>133.224614667692</v>
      </c>
      <c r="AE81" s="22" t="n">
        <f aca="false">AE79*$K$13</f>
        <v>137.18178144</v>
      </c>
      <c r="AF81" s="22" t="n">
        <f aca="false">AF79*$K$13</f>
        <v>125.456842855385</v>
      </c>
      <c r="AG81" s="22" t="n">
        <f aca="false">AG79*$K$13</f>
        <v>145.096114984615</v>
      </c>
      <c r="AH81" s="22" t="n">
        <f aca="false">AH79*$K$13</f>
        <v>143.53278984</v>
      </c>
      <c r="AI81" s="22" t="n">
        <f aca="false">AI79*$K$13</f>
        <v>153.010448529231</v>
      </c>
      <c r="AJ81" s="22" t="n">
        <f aca="false">AJ79*$K$13</f>
        <v>151.15399992</v>
      </c>
      <c r="AK81" s="22" t="n">
        <f aca="false">AK79*$K$13</f>
        <v>160.924782073846</v>
      </c>
      <c r="AL81" s="22" t="n">
        <f aca="false">AL79*$K$13</f>
        <v>164.881948846154</v>
      </c>
    </row>
    <row r="82" customFormat="false" ht="15" hidden="false" customHeight="false" outlineLevel="0" collapsed="false">
      <c r="A82" s="6" t="s">
        <v>497</v>
      </c>
      <c r="C82" s="14" t="n">
        <f aca="false">C79*$L$13/60*$M$13</f>
        <v>0.35568</v>
      </c>
      <c r="D82" s="14" t="n">
        <f aca="false">D79*$L$13/60*$M$13</f>
        <v>0.424764</v>
      </c>
      <c r="E82" s="14" t="n">
        <f aca="false">E79*$L$13/60*$M$13</f>
        <v>0.462384</v>
      </c>
      <c r="F82" s="14" t="n">
        <f aca="false">F79*$L$13/60*$M$13</f>
        <v>0.535572</v>
      </c>
      <c r="G82" s="14" t="n">
        <f aca="false">G79*$L$13/60*$M$13</f>
        <v>0.590976</v>
      </c>
      <c r="H82" s="14" t="n">
        <f aca="false">H79*$L$13/60*$M$13</f>
        <v>0.57456</v>
      </c>
      <c r="I82" s="14" t="n">
        <f aca="false">I79*$L$13/60*$M$13</f>
        <v>0.701784</v>
      </c>
      <c r="J82" s="14" t="n">
        <f aca="false">J79*$L$13/60*$M$13</f>
        <v>0.729144</v>
      </c>
      <c r="K82" s="14" t="n">
        <f aca="false">K79*$L$13/60*$M$13</f>
        <v>0.812592</v>
      </c>
      <c r="L82" s="14" t="n">
        <f aca="false">L79*$L$13/60*$M$13</f>
        <v>0.835848</v>
      </c>
      <c r="M82" s="14" t="n">
        <f aca="false">M79*$L$13/60*$M$13</f>
        <v>0.9234</v>
      </c>
      <c r="N82" s="14" t="n">
        <f aca="false">N79*$L$13/60*$M$13</f>
        <v>0.978804</v>
      </c>
      <c r="O82" s="14" t="n">
        <f aca="false">O79*$L$13/60*$M$13</f>
        <v>0.995904</v>
      </c>
      <c r="P82" s="14" t="n">
        <f aca="false">P79*$L$13/60*$M$13</f>
        <v>1.089612</v>
      </c>
      <c r="Q82" s="14" t="n">
        <f aca="false">Q79*$L$13/60*$M$13</f>
        <v>1.102608</v>
      </c>
      <c r="R82" s="14" t="n">
        <f aca="false">R79*$L$13/60*$M$13</f>
        <v>1.20042</v>
      </c>
      <c r="S82" s="14" t="n">
        <f aca="false">S79*$L$13/60*$M$13</f>
        <v>1.255824</v>
      </c>
      <c r="T82" s="14" t="n">
        <f aca="false">T79*$L$13/60*$M$13</f>
        <v>1.2141</v>
      </c>
      <c r="U82" s="14" t="n">
        <f aca="false">U79*$L$13/60*$M$13</f>
        <v>1.366632</v>
      </c>
      <c r="V82" s="14" t="n">
        <f aca="false">V79*$L$13/60*$M$13</f>
        <v>1.369368</v>
      </c>
      <c r="W82" s="14" t="n">
        <f aca="false">W79*$L$13/60*$M$13</f>
        <v>1.47744</v>
      </c>
      <c r="X82" s="14" t="n">
        <f aca="false">X79*$L$13/60*$M$13</f>
        <v>1.476072</v>
      </c>
      <c r="Y82" s="14" t="n">
        <f aca="false">Y79*$L$13/60*$M$13</f>
        <v>1.588248</v>
      </c>
      <c r="Z82" s="14" t="n">
        <f aca="false">Z79*$L$13/60*$M$13</f>
        <v>1.643652</v>
      </c>
      <c r="AA82" s="14" t="n">
        <f aca="false">AA79*$L$13/60*$M$13</f>
        <v>1.636128</v>
      </c>
      <c r="AB82" s="14" t="n">
        <f aca="false">AB79*$L$13/60*$M$13</f>
        <v>1.75446</v>
      </c>
      <c r="AC82" s="14" t="n">
        <f aca="false">AC79*$L$13/60*$M$13</f>
        <v>1.742832</v>
      </c>
      <c r="AD82" s="14" t="n">
        <f aca="false">AD79*$L$13/60*$M$13</f>
        <v>1.865268</v>
      </c>
      <c r="AE82" s="14" t="n">
        <f aca="false">AE79*$L$13/60*$M$13</f>
        <v>1.920672</v>
      </c>
      <c r="AF82" s="14" t="n">
        <f aca="false">AF79*$L$13/60*$M$13</f>
        <v>1.756512</v>
      </c>
      <c r="AG82" s="14" t="n">
        <f aca="false">AG79*$L$13/60*$M$13</f>
        <v>2.03148</v>
      </c>
      <c r="AH82" s="14" t="n">
        <f aca="false">AH79*$L$13/60*$M$13</f>
        <v>2.009592</v>
      </c>
      <c r="AI82" s="14" t="n">
        <f aca="false">AI79*$L$13/60*$M$13</f>
        <v>2.142288</v>
      </c>
      <c r="AJ82" s="14" t="n">
        <f aca="false">AJ79*$L$13/60*$M$13</f>
        <v>2.116296</v>
      </c>
      <c r="AK82" s="14" t="n">
        <f aca="false">AK79*$L$13/60*$M$13</f>
        <v>2.253096</v>
      </c>
      <c r="AL82" s="14" t="n">
        <f aca="false">AL79*$L$13/60*$M$13</f>
        <v>2.3085</v>
      </c>
    </row>
    <row r="83" customFormat="false" ht="15" hidden="false" customHeight="false" outlineLevel="0" collapsed="false">
      <c r="A83" s="36" t="s">
        <v>480</v>
      </c>
    </row>
    <row r="84" customFormat="false" ht="15" hidden="false" customHeight="false" outlineLevel="0" collapsed="false">
      <c r="A84" s="6" t="s">
        <v>493</v>
      </c>
      <c r="C84" s="14" t="n">
        <f aca="false">C$27*$N$14</f>
        <v>2.6676</v>
      </c>
      <c r="D84" s="14" t="n">
        <f aca="false">D$27*$N$14</f>
        <v>3.18573</v>
      </c>
      <c r="E84" s="14" t="n">
        <f aca="false">E$27*$N$14</f>
        <v>3.46788</v>
      </c>
      <c r="F84" s="14" t="n">
        <f aca="false">F$27*$N$14</f>
        <v>4.01679</v>
      </c>
      <c r="G84" s="14" t="n">
        <f aca="false">G$27*$N$14</f>
        <v>4.43232</v>
      </c>
      <c r="H84" s="14" t="n">
        <f aca="false">H$27*$N$14</f>
        <v>4.3092</v>
      </c>
      <c r="I84" s="14" t="n">
        <f aca="false">I$27*$N$14</f>
        <v>5.26338</v>
      </c>
      <c r="J84" s="14" t="n">
        <f aca="false">J$27*$N$14</f>
        <v>5.46858</v>
      </c>
      <c r="K84" s="14" t="n">
        <f aca="false">K$27*$N$14</f>
        <v>6.09444</v>
      </c>
      <c r="L84" s="14" t="n">
        <f aca="false">L$27*$N$14</f>
        <v>6.26886</v>
      </c>
      <c r="M84" s="14" t="n">
        <f aca="false">M$27*$N$14</f>
        <v>6.9255</v>
      </c>
      <c r="N84" s="14" t="n">
        <f aca="false">N$27*$N$14</f>
        <v>7.34103</v>
      </c>
      <c r="O84" s="14" t="n">
        <f aca="false">O$27*$N$14</f>
        <v>7.46928</v>
      </c>
      <c r="P84" s="14" t="n">
        <f aca="false">P$27*$N$14</f>
        <v>8.17209</v>
      </c>
      <c r="Q84" s="14" t="n">
        <f aca="false">Q$27*$N$14</f>
        <v>8.26956</v>
      </c>
      <c r="R84" s="14" t="n">
        <f aca="false">R$27*$N$14</f>
        <v>9.00315</v>
      </c>
      <c r="S84" s="14" t="n">
        <f aca="false">S$27*$N$14</f>
        <v>9.41868</v>
      </c>
      <c r="T84" s="14" t="n">
        <f aca="false">T$27*$N$14</f>
        <v>9.10575</v>
      </c>
      <c r="U84" s="14" t="n">
        <f aca="false">U$27*$N$14</f>
        <v>10.24974</v>
      </c>
      <c r="V84" s="14" t="n">
        <f aca="false">V$27*$N$14</f>
        <v>10.27026</v>
      </c>
      <c r="W84" s="14" t="n">
        <f aca="false">W$27*$N$14</f>
        <v>11.0808</v>
      </c>
      <c r="X84" s="14" t="n">
        <f aca="false">X$27*$N$14</f>
        <v>11.07054</v>
      </c>
      <c r="Y84" s="14" t="n">
        <f aca="false">Y$27*$N$14</f>
        <v>11.91186</v>
      </c>
      <c r="Z84" s="14" t="n">
        <f aca="false">Z$27*$N$14</f>
        <v>12.32739</v>
      </c>
      <c r="AA84" s="14" t="n">
        <f aca="false">AA$27*$N$14</f>
        <v>12.27096</v>
      </c>
      <c r="AB84" s="14" t="n">
        <f aca="false">AB$27*$N$14</f>
        <v>13.15845</v>
      </c>
      <c r="AC84" s="14" t="n">
        <f aca="false">AC$27*$N$14</f>
        <v>13.07124</v>
      </c>
      <c r="AD84" s="14" t="n">
        <f aca="false">AD$27*$N$14</f>
        <v>13.98951</v>
      </c>
      <c r="AE84" s="14" t="n">
        <f aca="false">AE$27*$N$14</f>
        <v>14.40504</v>
      </c>
      <c r="AF84" s="14" t="n">
        <f aca="false">AF$27*$N$14</f>
        <v>13.17384</v>
      </c>
      <c r="AG84" s="14" t="n">
        <f aca="false">AG$27*$N$14</f>
        <v>15.2361</v>
      </c>
      <c r="AH84" s="14" t="n">
        <f aca="false">AH$27*$N$14</f>
        <v>15.07194</v>
      </c>
      <c r="AI84" s="14" t="n">
        <f aca="false">AI$27*$N$14</f>
        <v>16.06716</v>
      </c>
      <c r="AJ84" s="14" t="n">
        <f aca="false">AJ$27*$N$14</f>
        <v>15.87222</v>
      </c>
      <c r="AK84" s="14" t="n">
        <f aca="false">AK$27*$N$14</f>
        <v>16.89822</v>
      </c>
      <c r="AL84" s="14" t="n">
        <f aca="false">AL$27*$N$14</f>
        <v>17.31375</v>
      </c>
    </row>
    <row r="85" customFormat="false" ht="15" hidden="false" customHeight="false" outlineLevel="0" collapsed="false">
      <c r="A85" s="6" t="s">
        <v>494</v>
      </c>
      <c r="C85" s="14" t="n">
        <f aca="false">IF($E$14=0,0,C84*60/$E$14)</f>
        <v>3.97879322033898</v>
      </c>
      <c r="D85" s="14" t="n">
        <f aca="false">IF($E$14=0,0,D84*60/$E$14)</f>
        <v>4.75159728813559</v>
      </c>
      <c r="E85" s="14" t="n">
        <f aca="false">IF($E$14=0,0,E84*60/$E$14)</f>
        <v>5.17243118644068</v>
      </c>
      <c r="F85" s="14" t="n">
        <f aca="false">IF($E$14=0,0,F84*60/$E$14)</f>
        <v>5.99114440677966</v>
      </c>
      <c r="G85" s="14" t="n">
        <f aca="false">IF($E$14=0,0,G84*60/$E$14)</f>
        <v>6.61091796610169</v>
      </c>
      <c r="H85" s="14" t="n">
        <f aca="false">IF($E$14=0,0,H84*60/$E$14)</f>
        <v>6.4272813559322</v>
      </c>
      <c r="I85" s="14" t="n">
        <f aca="false">IF($E$14=0,0,I84*60/$E$14)</f>
        <v>7.85046508474576</v>
      </c>
      <c r="J85" s="14" t="n">
        <f aca="false">IF($E$14=0,0,J84*60/$E$14)</f>
        <v>8.15652610169491</v>
      </c>
      <c r="K85" s="14" t="n">
        <f aca="false">IF($E$14=0,0,K84*60/$E$14)</f>
        <v>9.09001220338983</v>
      </c>
      <c r="L85" s="14" t="n">
        <f aca="false">IF($E$14=0,0,L84*60/$E$14)</f>
        <v>9.35016406779661</v>
      </c>
      <c r="M85" s="14" t="n">
        <f aca="false">IF($E$14=0,0,M84*60/$E$14)</f>
        <v>10.3295593220339</v>
      </c>
      <c r="N85" s="14" t="n">
        <f aca="false">IF($E$14=0,0,N84*60/$E$14)</f>
        <v>10.9493328813559</v>
      </c>
      <c r="O85" s="14" t="n">
        <f aca="false">IF($E$14=0,0,O84*60/$E$14)</f>
        <v>11.1406210169492</v>
      </c>
      <c r="P85" s="14" t="n">
        <f aca="false">IF($E$14=0,0,P84*60/$E$14)</f>
        <v>12.18888</v>
      </c>
      <c r="Q85" s="14" t="n">
        <f aca="false">IF($E$14=0,0,Q84*60/$E$14)</f>
        <v>12.3342589830508</v>
      </c>
      <c r="R85" s="14" t="n">
        <f aca="false">IF($E$14=0,0,R84*60/$E$14)</f>
        <v>13.4284271186441</v>
      </c>
      <c r="S85" s="14" t="n">
        <f aca="false">IF($E$14=0,0,S84*60/$E$14)</f>
        <v>14.0482006779661</v>
      </c>
      <c r="T85" s="14" t="n">
        <f aca="false">IF($E$14=0,0,T84*60/$E$14)</f>
        <v>13.5814576271186</v>
      </c>
      <c r="U85" s="14" t="n">
        <f aca="false">IF($E$14=0,0,U84*60/$E$14)</f>
        <v>15.2877477966102</v>
      </c>
      <c r="V85" s="14" t="n">
        <f aca="false">IF($E$14=0,0,V84*60/$E$14)</f>
        <v>15.3183538983051</v>
      </c>
      <c r="W85" s="14" t="n">
        <f aca="false">IF($E$14=0,0,W84*60/$E$14)</f>
        <v>16.5272949152542</v>
      </c>
      <c r="X85" s="14" t="n">
        <f aca="false">IF($E$14=0,0,X84*60/$E$14)</f>
        <v>16.5119918644068</v>
      </c>
      <c r="Y85" s="14" t="n">
        <f aca="false">IF($E$14=0,0,Y84*60/$E$14)</f>
        <v>17.7668420338983</v>
      </c>
      <c r="Z85" s="14" t="n">
        <f aca="false">IF($E$14=0,0,Z84*60/$E$14)</f>
        <v>18.3866155932203</v>
      </c>
      <c r="AA85" s="14" t="n">
        <f aca="false">IF($E$14=0,0,AA84*60/$E$14)</f>
        <v>18.3024488135593</v>
      </c>
      <c r="AB85" s="14" t="n">
        <f aca="false">IF($E$14=0,0,AB84*60/$E$14)</f>
        <v>19.6261627118644</v>
      </c>
      <c r="AC85" s="14" t="n">
        <f aca="false">IF($E$14=0,0,AC84*60/$E$14)</f>
        <v>19.496086779661</v>
      </c>
      <c r="AD85" s="14" t="n">
        <f aca="false">IF($E$14=0,0,AD84*60/$E$14)</f>
        <v>20.8657098305085</v>
      </c>
      <c r="AE85" s="14" t="n">
        <f aca="false">IF($E$14=0,0,AE84*60/$E$14)</f>
        <v>21.4854833898305</v>
      </c>
      <c r="AF85" s="14" t="n">
        <f aca="false">IF($E$14=0,0,AF84*60/$E$14)</f>
        <v>19.6491172881356</v>
      </c>
      <c r="AG85" s="14" t="n">
        <f aca="false">IF($E$14=0,0,AG84*60/$E$14)</f>
        <v>22.7250305084746</v>
      </c>
      <c r="AH85" s="14" t="n">
        <f aca="false">IF($E$14=0,0,AH84*60/$E$14)</f>
        <v>22.4801816949153</v>
      </c>
      <c r="AI85" s="14" t="n">
        <f aca="false">IF($E$14=0,0,AI84*60/$E$14)</f>
        <v>23.9645776271186</v>
      </c>
      <c r="AJ85" s="14" t="n">
        <f aca="false">IF($E$14=0,0,AJ84*60/$E$14)</f>
        <v>23.6738196610169</v>
      </c>
      <c r="AK85" s="14" t="n">
        <f aca="false">IF($E$14=0,0,AK84*60/$E$14)</f>
        <v>25.2041247457627</v>
      </c>
      <c r="AL85" s="14" t="n">
        <f aca="false">IF($E$14=0,0,AL84*60/$E$14)</f>
        <v>25.8238983050847</v>
      </c>
    </row>
    <row r="86" customFormat="false" ht="15" hidden="false" customHeight="false" outlineLevel="0" collapsed="false">
      <c r="A86" s="6" t="s">
        <v>495</v>
      </c>
      <c r="C86" s="22" t="n">
        <f aca="false">C85*$H$14</f>
        <v>813.84406779661</v>
      </c>
      <c r="D86" s="22" t="n">
        <f aca="false">D85*$H$14</f>
        <v>971.917627118644</v>
      </c>
      <c r="E86" s="22" t="n">
        <f aca="false">E85*$H$14</f>
        <v>1057.99728813559</v>
      </c>
      <c r="F86" s="22" t="n">
        <f aca="false">F85*$H$14</f>
        <v>1225.4613559322</v>
      </c>
      <c r="G86" s="22" t="n">
        <f aca="false">G85*$H$14</f>
        <v>1352.23322033898</v>
      </c>
      <c r="H86" s="22" t="n">
        <f aca="false">H85*$H$14</f>
        <v>1314.67118644068</v>
      </c>
      <c r="I86" s="22" t="n">
        <f aca="false">I85*$H$14</f>
        <v>1605.77694915254</v>
      </c>
      <c r="J86" s="22" t="n">
        <f aca="false">J85*$H$14</f>
        <v>1668.38033898305</v>
      </c>
      <c r="K86" s="22" t="n">
        <f aca="false">K85*$H$14</f>
        <v>1859.3206779661</v>
      </c>
      <c r="L86" s="22" t="n">
        <f aca="false">L85*$H$14</f>
        <v>1912.53355932203</v>
      </c>
      <c r="M86" s="22" t="n">
        <f aca="false">M85*$H$14</f>
        <v>2112.86440677966</v>
      </c>
      <c r="N86" s="22" t="n">
        <f aca="false">N85*$H$14</f>
        <v>2239.63627118644</v>
      </c>
      <c r="O86" s="22" t="n">
        <f aca="false">O85*$H$14</f>
        <v>2278.76338983051</v>
      </c>
      <c r="P86" s="22" t="n">
        <f aca="false">P85*$H$14</f>
        <v>2493.18</v>
      </c>
      <c r="Q86" s="22" t="n">
        <f aca="false">Q85*$H$14</f>
        <v>2522.91661016949</v>
      </c>
      <c r="R86" s="22" t="n">
        <f aca="false">R85*$H$14</f>
        <v>2746.72372881356</v>
      </c>
      <c r="S86" s="22" t="n">
        <f aca="false">S85*$H$14</f>
        <v>2873.49559322034</v>
      </c>
      <c r="T86" s="22" t="n">
        <f aca="false">T85*$H$14</f>
        <v>2778.02542372881</v>
      </c>
      <c r="U86" s="22" t="n">
        <f aca="false">U85*$H$14</f>
        <v>3127.0393220339</v>
      </c>
      <c r="V86" s="22" t="n">
        <f aca="false">V85*$H$14</f>
        <v>3133.29966101695</v>
      </c>
      <c r="W86" s="22" t="n">
        <f aca="false">W85*$H$14</f>
        <v>3380.58305084746</v>
      </c>
      <c r="X86" s="22" t="n">
        <f aca="false">X85*$H$14</f>
        <v>3377.45288135593</v>
      </c>
      <c r="Y86" s="22" t="n">
        <f aca="false">Y85*$H$14</f>
        <v>3634.12677966102</v>
      </c>
      <c r="Z86" s="22" t="n">
        <f aca="false">Z85*$H$14</f>
        <v>3760.8986440678</v>
      </c>
      <c r="AA86" s="22" t="n">
        <f aca="false">AA85*$H$14</f>
        <v>3743.68271186441</v>
      </c>
      <c r="AB86" s="22" t="n">
        <f aca="false">AB85*$H$14</f>
        <v>4014.44237288136</v>
      </c>
      <c r="AC86" s="22" t="n">
        <f aca="false">AC85*$H$14</f>
        <v>3987.83593220339</v>
      </c>
      <c r="AD86" s="22" t="n">
        <f aca="false">AD85*$H$14</f>
        <v>4267.98610169492</v>
      </c>
      <c r="AE86" s="22" t="n">
        <f aca="false">AE85*$H$14</f>
        <v>4394.7579661017</v>
      </c>
      <c r="AF86" s="22" t="n">
        <f aca="false">AF85*$H$14</f>
        <v>4019.13762711864</v>
      </c>
      <c r="AG86" s="22" t="n">
        <f aca="false">AG85*$H$14</f>
        <v>4648.30169491525</v>
      </c>
      <c r="AH86" s="22" t="n">
        <f aca="false">AH85*$H$14</f>
        <v>4598.21898305085</v>
      </c>
      <c r="AI86" s="22" t="n">
        <f aca="false">AI85*$H$14</f>
        <v>4901.84542372881</v>
      </c>
      <c r="AJ86" s="22" t="n">
        <f aca="false">AJ85*$H$14</f>
        <v>4842.37220338983</v>
      </c>
      <c r="AK86" s="22" t="n">
        <f aca="false">AK85*$H$14</f>
        <v>5155.38915254237</v>
      </c>
      <c r="AL86" s="22" t="n">
        <f aca="false">AL85*$H$14</f>
        <v>5282.16101694915</v>
      </c>
    </row>
    <row r="87" customFormat="false" ht="15" hidden="false" customHeight="false" outlineLevel="0" collapsed="false">
      <c r="A87" s="6" t="s">
        <v>496</v>
      </c>
      <c r="C87" s="22" t="n">
        <f aca="false">C85*$K$14</f>
        <v>219.737898305085</v>
      </c>
      <c r="D87" s="22" t="n">
        <f aca="false">D85*$K$14</f>
        <v>262.417759322034</v>
      </c>
      <c r="E87" s="22" t="n">
        <f aca="false">E85*$K$14</f>
        <v>285.65926779661</v>
      </c>
      <c r="F87" s="22" t="n">
        <f aca="false">F85*$K$14</f>
        <v>330.874566101695</v>
      </c>
      <c r="G87" s="22" t="n">
        <f aca="false">G85*$K$14</f>
        <v>365.102969491525</v>
      </c>
      <c r="H87" s="22" t="n">
        <f aca="false">H85*$K$14</f>
        <v>354.961220338983</v>
      </c>
      <c r="I87" s="22" t="n">
        <f aca="false">I85*$K$14</f>
        <v>433.559776271186</v>
      </c>
      <c r="J87" s="22" t="n">
        <f aca="false">J85*$K$14</f>
        <v>450.462691525424</v>
      </c>
      <c r="K87" s="22" t="n">
        <f aca="false">K85*$K$14</f>
        <v>502.016583050848</v>
      </c>
      <c r="L87" s="22" t="n">
        <f aca="false">L85*$K$14</f>
        <v>516.384061016949</v>
      </c>
      <c r="M87" s="22" t="n">
        <f aca="false">M85*$K$14</f>
        <v>570.473389830509</v>
      </c>
      <c r="N87" s="22" t="n">
        <f aca="false">N85*$K$14</f>
        <v>604.701793220339</v>
      </c>
      <c r="O87" s="22" t="n">
        <f aca="false">O85*$K$14</f>
        <v>615.266115254237</v>
      </c>
      <c r="P87" s="22" t="n">
        <f aca="false">P85*$K$14</f>
        <v>673.1586</v>
      </c>
      <c r="Q87" s="22" t="n">
        <f aca="false">Q85*$K$14</f>
        <v>681.187484745763</v>
      </c>
      <c r="R87" s="22" t="n">
        <f aca="false">R85*$K$14</f>
        <v>741.615406779661</v>
      </c>
      <c r="S87" s="22" t="n">
        <f aca="false">S85*$K$14</f>
        <v>775.843810169492</v>
      </c>
      <c r="T87" s="22" t="n">
        <f aca="false">T85*$K$14</f>
        <v>750.06686440678</v>
      </c>
      <c r="U87" s="22" t="n">
        <f aca="false">U85*$K$14</f>
        <v>844.300616949152</v>
      </c>
      <c r="V87" s="22" t="n">
        <f aca="false">V85*$K$14</f>
        <v>845.990908474576</v>
      </c>
      <c r="W87" s="22" t="n">
        <f aca="false">W85*$K$14</f>
        <v>912.757423728814</v>
      </c>
      <c r="X87" s="22" t="n">
        <f aca="false">X85*$K$14</f>
        <v>911.912277966102</v>
      </c>
      <c r="Y87" s="22" t="n">
        <f aca="false">Y85*$K$14</f>
        <v>981.214230508474</v>
      </c>
      <c r="Z87" s="22" t="n">
        <f aca="false">Z85*$K$14</f>
        <v>1015.4426338983</v>
      </c>
      <c r="AA87" s="22" t="n">
        <f aca="false">AA85*$K$14</f>
        <v>1010.79433220339</v>
      </c>
      <c r="AB87" s="22" t="n">
        <f aca="false">AB85*$K$14</f>
        <v>1083.89944067797</v>
      </c>
      <c r="AC87" s="22" t="n">
        <f aca="false">AC85*$K$14</f>
        <v>1076.71570169492</v>
      </c>
      <c r="AD87" s="22" t="n">
        <f aca="false">AD85*$K$14</f>
        <v>1152.35624745763</v>
      </c>
      <c r="AE87" s="22" t="n">
        <f aca="false">AE85*$K$14</f>
        <v>1186.58465084746</v>
      </c>
      <c r="AF87" s="22" t="n">
        <f aca="false">AF85*$K$14</f>
        <v>1085.16715932203</v>
      </c>
      <c r="AG87" s="22" t="n">
        <f aca="false">AG85*$K$14</f>
        <v>1255.04145762712</v>
      </c>
      <c r="AH87" s="22" t="n">
        <f aca="false">AH85*$K$14</f>
        <v>1241.51912542373</v>
      </c>
      <c r="AI87" s="22" t="n">
        <f aca="false">AI85*$K$14</f>
        <v>1323.49826440678</v>
      </c>
      <c r="AJ87" s="22" t="n">
        <f aca="false">AJ85*$K$14</f>
        <v>1307.44049491525</v>
      </c>
      <c r="AK87" s="22" t="n">
        <f aca="false">AK85*$K$14</f>
        <v>1391.95507118644</v>
      </c>
      <c r="AL87" s="22" t="n">
        <f aca="false">AL85*$K$14</f>
        <v>1426.18347457627</v>
      </c>
    </row>
    <row r="88" customFormat="false" ht="15" hidden="false" customHeight="false" outlineLevel="0" collapsed="false">
      <c r="A88" s="6" t="s">
        <v>497</v>
      </c>
      <c r="C88" s="14" t="n">
        <f aca="false">C85*$L$14/60*$M$14</f>
        <v>0</v>
      </c>
      <c r="D88" s="14" t="n">
        <f aca="false">D85*$L$14/60*$M$14</f>
        <v>0</v>
      </c>
      <c r="E88" s="14" t="n">
        <f aca="false">E85*$L$14/60*$M$14</f>
        <v>0</v>
      </c>
      <c r="F88" s="14" t="n">
        <f aca="false">F85*$L$14/60*$M$14</f>
        <v>0</v>
      </c>
      <c r="G88" s="14" t="n">
        <f aca="false">G85*$L$14/60*$M$14</f>
        <v>0</v>
      </c>
      <c r="H88" s="14" t="n">
        <f aca="false">H85*$L$14/60*$M$14</f>
        <v>0</v>
      </c>
      <c r="I88" s="14" t="n">
        <f aca="false">I85*$L$14/60*$M$14</f>
        <v>0</v>
      </c>
      <c r="J88" s="14" t="n">
        <f aca="false">J85*$L$14/60*$M$14</f>
        <v>0</v>
      </c>
      <c r="K88" s="14" t="n">
        <f aca="false">K85*$L$14/60*$M$14</f>
        <v>0</v>
      </c>
      <c r="L88" s="14" t="n">
        <f aca="false">L85*$L$14/60*$M$14</f>
        <v>0</v>
      </c>
      <c r="M88" s="14" t="n">
        <f aca="false">M85*$L$14/60*$M$14</f>
        <v>0</v>
      </c>
      <c r="N88" s="14" t="n">
        <f aca="false">N85*$L$14/60*$M$14</f>
        <v>0</v>
      </c>
      <c r="O88" s="14" t="n">
        <f aca="false">O85*$L$14/60*$M$14</f>
        <v>0</v>
      </c>
      <c r="P88" s="14" t="n">
        <f aca="false">P85*$L$14/60*$M$14</f>
        <v>0</v>
      </c>
      <c r="Q88" s="14" t="n">
        <f aca="false">Q85*$L$14/60*$M$14</f>
        <v>0</v>
      </c>
      <c r="R88" s="14" t="n">
        <f aca="false">R85*$L$14/60*$M$14</f>
        <v>0</v>
      </c>
      <c r="S88" s="14" t="n">
        <f aca="false">S85*$L$14/60*$M$14</f>
        <v>0</v>
      </c>
      <c r="T88" s="14" t="n">
        <f aca="false">T85*$L$14/60*$M$14</f>
        <v>0</v>
      </c>
      <c r="U88" s="14" t="n">
        <f aca="false">U85*$L$14/60*$M$14</f>
        <v>0</v>
      </c>
      <c r="V88" s="14" t="n">
        <f aca="false">V85*$L$14/60*$M$14</f>
        <v>0</v>
      </c>
      <c r="W88" s="14" t="n">
        <f aca="false">W85*$L$14/60*$M$14</f>
        <v>0</v>
      </c>
      <c r="X88" s="14" t="n">
        <f aca="false">X85*$L$14/60*$M$14</f>
        <v>0</v>
      </c>
      <c r="Y88" s="14" t="n">
        <f aca="false">Y85*$L$14/60*$M$14</f>
        <v>0</v>
      </c>
      <c r="Z88" s="14" t="n">
        <f aca="false">Z85*$L$14/60*$M$14</f>
        <v>0</v>
      </c>
      <c r="AA88" s="14" t="n">
        <f aca="false">AA85*$L$14/60*$M$14</f>
        <v>0</v>
      </c>
      <c r="AB88" s="14" t="n">
        <f aca="false">AB85*$L$14/60*$M$14</f>
        <v>0</v>
      </c>
      <c r="AC88" s="14" t="n">
        <f aca="false">AC85*$L$14/60*$M$14</f>
        <v>0</v>
      </c>
      <c r="AD88" s="14" t="n">
        <f aca="false">AD85*$L$14/60*$M$14</f>
        <v>0</v>
      </c>
      <c r="AE88" s="14" t="n">
        <f aca="false">AE85*$L$14/60*$M$14</f>
        <v>0</v>
      </c>
      <c r="AF88" s="14" t="n">
        <f aca="false">AF85*$L$14/60*$M$14</f>
        <v>0</v>
      </c>
      <c r="AG88" s="14" t="n">
        <f aca="false">AG85*$L$14/60*$M$14</f>
        <v>0</v>
      </c>
      <c r="AH88" s="14" t="n">
        <f aca="false">AH85*$L$14/60*$M$14</f>
        <v>0</v>
      </c>
      <c r="AI88" s="14" t="n">
        <f aca="false">AI85*$L$14/60*$M$14</f>
        <v>0</v>
      </c>
      <c r="AJ88" s="14" t="n">
        <f aca="false">AJ85*$L$14/60*$M$14</f>
        <v>0</v>
      </c>
      <c r="AK88" s="14" t="n">
        <f aca="false">AK85*$L$14/60*$M$14</f>
        <v>0</v>
      </c>
      <c r="AL88" s="14" t="n">
        <f aca="false">AL85*$L$14/60*$M$14</f>
        <v>0</v>
      </c>
    </row>
    <row r="89" customFormat="false" ht="15" hidden="false" customHeight="false" outlineLevel="0" collapsed="false">
      <c r="A89" s="36" t="s">
        <v>481</v>
      </c>
    </row>
    <row r="90" customFormat="false" ht="15" hidden="false" customHeight="false" outlineLevel="0" collapsed="false">
      <c r="A90" s="6" t="s">
        <v>493</v>
      </c>
      <c r="C90" s="14" t="n">
        <f aca="false">C$27*$N$15</f>
        <v>1.7784</v>
      </c>
      <c r="D90" s="14" t="n">
        <f aca="false">D$27*$N$15</f>
        <v>2.12382</v>
      </c>
      <c r="E90" s="14" t="n">
        <f aca="false">E$27*$N$15</f>
        <v>2.31192</v>
      </c>
      <c r="F90" s="14" t="n">
        <f aca="false">F$27*$N$15</f>
        <v>2.67786</v>
      </c>
      <c r="G90" s="14" t="n">
        <f aca="false">G$27*$N$15</f>
        <v>2.95488</v>
      </c>
      <c r="H90" s="14" t="n">
        <f aca="false">H$27*$N$15</f>
        <v>2.8728</v>
      </c>
      <c r="I90" s="14" t="n">
        <f aca="false">I$27*$N$15</f>
        <v>3.50892</v>
      </c>
      <c r="J90" s="14" t="n">
        <f aca="false">J$27*$N$15</f>
        <v>3.64572</v>
      </c>
      <c r="K90" s="14" t="n">
        <f aca="false">K$27*$N$15</f>
        <v>4.06296</v>
      </c>
      <c r="L90" s="14" t="n">
        <f aca="false">L$27*$N$15</f>
        <v>4.17924</v>
      </c>
      <c r="M90" s="14" t="n">
        <f aca="false">M$27*$N$15</f>
        <v>4.617</v>
      </c>
      <c r="N90" s="14" t="n">
        <f aca="false">N$27*$N$15</f>
        <v>4.89402</v>
      </c>
      <c r="O90" s="14" t="n">
        <f aca="false">O$27*$N$15</f>
        <v>4.97952</v>
      </c>
      <c r="P90" s="14" t="n">
        <f aca="false">P$27*$N$15</f>
        <v>5.44806</v>
      </c>
      <c r="Q90" s="14" t="n">
        <f aca="false">Q$27*$N$15</f>
        <v>5.51304</v>
      </c>
      <c r="R90" s="14" t="n">
        <f aca="false">R$27*$N$15</f>
        <v>6.0021</v>
      </c>
      <c r="S90" s="14" t="n">
        <f aca="false">S$27*$N$15</f>
        <v>6.27912</v>
      </c>
      <c r="T90" s="14" t="n">
        <f aca="false">T$27*$N$15</f>
        <v>6.0705</v>
      </c>
      <c r="U90" s="14" t="n">
        <f aca="false">U$27*$N$15</f>
        <v>6.83316</v>
      </c>
      <c r="V90" s="14" t="n">
        <f aca="false">V$27*$N$15</f>
        <v>6.84684</v>
      </c>
      <c r="W90" s="14" t="n">
        <f aca="false">W$27*$N$15</f>
        <v>7.3872</v>
      </c>
      <c r="X90" s="14" t="n">
        <f aca="false">X$27*$N$15</f>
        <v>7.38036</v>
      </c>
      <c r="Y90" s="14" t="n">
        <f aca="false">Y$27*$N$15</f>
        <v>7.94124</v>
      </c>
      <c r="Z90" s="14" t="n">
        <f aca="false">Z$27*$N$15</f>
        <v>8.21826</v>
      </c>
      <c r="AA90" s="14" t="n">
        <f aca="false">AA$27*$N$15</f>
        <v>8.18064</v>
      </c>
      <c r="AB90" s="14" t="n">
        <f aca="false">AB$27*$N$15</f>
        <v>8.7723</v>
      </c>
      <c r="AC90" s="14" t="n">
        <f aca="false">AC$27*$N$15</f>
        <v>8.71416</v>
      </c>
      <c r="AD90" s="14" t="n">
        <f aca="false">AD$27*$N$15</f>
        <v>9.32634</v>
      </c>
      <c r="AE90" s="14" t="n">
        <f aca="false">AE$27*$N$15</f>
        <v>9.60336</v>
      </c>
      <c r="AF90" s="14" t="n">
        <f aca="false">AF$27*$N$15</f>
        <v>8.78256</v>
      </c>
      <c r="AG90" s="14" t="n">
        <f aca="false">AG$27*$N$15</f>
        <v>10.1574</v>
      </c>
      <c r="AH90" s="14" t="n">
        <f aca="false">AH$27*$N$15</f>
        <v>10.04796</v>
      </c>
      <c r="AI90" s="14" t="n">
        <f aca="false">AI$27*$N$15</f>
        <v>10.71144</v>
      </c>
      <c r="AJ90" s="14" t="n">
        <f aca="false">AJ$27*$N$15</f>
        <v>10.58148</v>
      </c>
      <c r="AK90" s="14" t="n">
        <f aca="false">AK$27*$N$15</f>
        <v>11.26548</v>
      </c>
      <c r="AL90" s="14" t="n">
        <f aca="false">AL$27*$N$15</f>
        <v>11.5425</v>
      </c>
    </row>
    <row r="91" customFormat="false" ht="15" hidden="false" customHeight="false" outlineLevel="0" collapsed="false">
      <c r="A91" s="6" t="s">
        <v>494</v>
      </c>
      <c r="C91" s="14" t="n">
        <f aca="false">IF($E$15=0,0,C90*60/$E$15)</f>
        <v>2.30711351351351</v>
      </c>
      <c r="D91" s="14" t="n">
        <f aca="false">IF($E$15=0,0,D90*60/$E$15)</f>
        <v>2.75522594594595</v>
      </c>
      <c r="E91" s="14" t="n">
        <f aca="false">IF($E$15=0,0,E90*60/$E$15)</f>
        <v>2.99924756756757</v>
      </c>
      <c r="F91" s="14" t="n">
        <f aca="false">IF($E$15=0,0,F90*60/$E$15)</f>
        <v>3.47398054054054</v>
      </c>
      <c r="G91" s="14" t="n">
        <f aca="false">IF($E$15=0,0,G90*60/$E$15)</f>
        <v>3.83335783783784</v>
      </c>
      <c r="H91" s="14" t="n">
        <f aca="false">IF($E$15=0,0,H90*60/$E$15)</f>
        <v>3.72687567567568</v>
      </c>
      <c r="I91" s="14" t="n">
        <f aca="false">IF($E$15=0,0,I90*60/$E$15)</f>
        <v>4.55211243243243</v>
      </c>
      <c r="J91" s="14" t="n">
        <f aca="false">IF($E$15=0,0,J90*60/$E$15)</f>
        <v>4.7295827027027</v>
      </c>
      <c r="K91" s="14" t="n">
        <f aca="false">IF($E$15=0,0,K90*60/$E$15)</f>
        <v>5.27086702702703</v>
      </c>
      <c r="L91" s="14" t="n">
        <f aca="false">IF($E$15=0,0,L90*60/$E$15)</f>
        <v>5.42171675675676</v>
      </c>
      <c r="M91" s="14" t="n">
        <f aca="false">IF($E$15=0,0,M90*60/$E$15)</f>
        <v>5.98962162162162</v>
      </c>
      <c r="N91" s="14" t="n">
        <f aca="false">IF($E$15=0,0,N90*60/$E$15)</f>
        <v>6.34899891891892</v>
      </c>
      <c r="O91" s="14" t="n">
        <f aca="false">IF($E$15=0,0,O90*60/$E$15)</f>
        <v>6.45991783783784</v>
      </c>
      <c r="P91" s="14" t="n">
        <f aca="false">IF($E$15=0,0,P90*60/$E$15)</f>
        <v>7.06775351351351</v>
      </c>
      <c r="Q91" s="14" t="n">
        <f aca="false">IF($E$15=0,0,Q90*60/$E$15)</f>
        <v>7.15205189189189</v>
      </c>
      <c r="R91" s="14" t="n">
        <f aca="false">IF($E$15=0,0,R90*60/$E$15)</f>
        <v>7.78650810810811</v>
      </c>
      <c r="S91" s="14" t="n">
        <f aca="false">IF($E$15=0,0,S90*60/$E$15)</f>
        <v>8.14588540540541</v>
      </c>
      <c r="T91" s="14" t="n">
        <f aca="false">IF($E$15=0,0,T90*60/$E$15)</f>
        <v>7.87524324324324</v>
      </c>
      <c r="U91" s="14" t="n">
        <f aca="false">IF($E$15=0,0,U90*60/$E$15)</f>
        <v>8.86464</v>
      </c>
      <c r="V91" s="14" t="n">
        <f aca="false">IF($E$15=0,0,V90*60/$E$15)</f>
        <v>8.88238702702703</v>
      </c>
      <c r="W91" s="14" t="n">
        <f aca="false">IF($E$15=0,0,W90*60/$E$15)</f>
        <v>9.58339459459459</v>
      </c>
      <c r="X91" s="14" t="n">
        <f aca="false">IF($E$15=0,0,X90*60/$E$15)</f>
        <v>9.57452108108108</v>
      </c>
      <c r="Y91" s="14" t="n">
        <f aca="false">IF($E$15=0,0,Y90*60/$E$15)</f>
        <v>10.3021491891892</v>
      </c>
      <c r="Z91" s="14" t="n">
        <f aca="false">IF($E$15=0,0,Z90*60/$E$15)</f>
        <v>10.6615264864865</v>
      </c>
      <c r="AA91" s="14" t="n">
        <f aca="false">IF($E$15=0,0,AA90*60/$E$15)</f>
        <v>10.6127221621622</v>
      </c>
      <c r="AB91" s="14" t="n">
        <f aca="false">IF($E$15=0,0,AB90*60/$E$15)</f>
        <v>11.3802810810811</v>
      </c>
      <c r="AC91" s="14" t="n">
        <f aca="false">IF($E$15=0,0,AC90*60/$E$15)</f>
        <v>11.3048562162162</v>
      </c>
      <c r="AD91" s="14" t="n">
        <f aca="false">IF($E$15=0,0,AD90*60/$E$15)</f>
        <v>12.0990356756757</v>
      </c>
      <c r="AE91" s="14" t="n">
        <f aca="false">IF($E$15=0,0,AE90*60/$E$15)</f>
        <v>12.458412972973</v>
      </c>
      <c r="AF91" s="14" t="n">
        <f aca="false">IF($E$15=0,0,AF90*60/$E$15)</f>
        <v>11.3935913513514</v>
      </c>
      <c r="AG91" s="14" t="n">
        <f aca="false">IF($E$15=0,0,AG90*60/$E$15)</f>
        <v>13.1771675675676</v>
      </c>
      <c r="AH91" s="14" t="n">
        <f aca="false">IF($E$15=0,0,AH90*60/$E$15)</f>
        <v>13.0351913513514</v>
      </c>
      <c r="AI91" s="14" t="n">
        <f aca="false">IF($E$15=0,0,AI90*60/$E$15)</f>
        <v>13.8959221621622</v>
      </c>
      <c r="AJ91" s="14" t="n">
        <f aca="false">IF($E$15=0,0,AJ90*60/$E$15)</f>
        <v>13.7273254054054</v>
      </c>
      <c r="AK91" s="14" t="n">
        <f aca="false">IF($E$15=0,0,AK90*60/$E$15)</f>
        <v>14.6146767567568</v>
      </c>
      <c r="AL91" s="14" t="n">
        <f aca="false">IF($E$15=0,0,AL90*60/$E$15)</f>
        <v>14.9740540540541</v>
      </c>
    </row>
    <row r="92" customFormat="false" ht="15" hidden="false" customHeight="false" outlineLevel="0" collapsed="false">
      <c r="A92" s="6" t="s">
        <v>495</v>
      </c>
      <c r="C92" s="22" t="n">
        <f aca="false">C91*$H$15</f>
        <v>181.685189189189</v>
      </c>
      <c r="D92" s="22" t="n">
        <f aca="false">D91*$H$15</f>
        <v>216.974043243243</v>
      </c>
      <c r="E92" s="22" t="n">
        <f aca="false">E91*$H$15</f>
        <v>236.190745945946</v>
      </c>
      <c r="F92" s="22" t="n">
        <f aca="false">F91*$H$15</f>
        <v>273.575967567568</v>
      </c>
      <c r="G92" s="22" t="n">
        <f aca="false">G91*$H$15</f>
        <v>301.87692972973</v>
      </c>
      <c r="H92" s="22" t="n">
        <f aca="false">H91*$H$15</f>
        <v>293.491459459459</v>
      </c>
      <c r="I92" s="22" t="n">
        <f aca="false">I91*$H$15</f>
        <v>358.478854054054</v>
      </c>
      <c r="J92" s="22" t="n">
        <f aca="false">J91*$H$15</f>
        <v>372.454637837838</v>
      </c>
      <c r="K92" s="22" t="n">
        <f aca="false">K91*$H$15</f>
        <v>415.080778378378</v>
      </c>
      <c r="L92" s="22" t="n">
        <f aca="false">L91*$H$15</f>
        <v>426.960194594595</v>
      </c>
      <c r="M92" s="22" t="n">
        <f aca="false">M91*$H$15</f>
        <v>471.682702702703</v>
      </c>
      <c r="N92" s="22" t="n">
        <f aca="false">N91*$H$15</f>
        <v>499.983664864865</v>
      </c>
      <c r="O92" s="22" t="n">
        <f aca="false">O91*$H$15</f>
        <v>508.71852972973</v>
      </c>
      <c r="P92" s="22" t="n">
        <f aca="false">P91*$H$15</f>
        <v>556.585589189189</v>
      </c>
      <c r="Q92" s="22" t="n">
        <f aca="false">Q91*$H$15</f>
        <v>563.224086486487</v>
      </c>
      <c r="R92" s="22" t="n">
        <f aca="false">R91*$H$15</f>
        <v>613.187513513514</v>
      </c>
      <c r="S92" s="22" t="n">
        <f aca="false">S91*$H$15</f>
        <v>641.488475675676</v>
      </c>
      <c r="T92" s="22" t="n">
        <f aca="false">T91*$H$15</f>
        <v>620.175405405405</v>
      </c>
      <c r="U92" s="22" t="n">
        <f aca="false">U91*$H$15</f>
        <v>698.0904</v>
      </c>
      <c r="V92" s="22" t="n">
        <f aca="false">V91*$H$15</f>
        <v>699.487978378378</v>
      </c>
      <c r="W92" s="22" t="n">
        <f aca="false">W91*$H$15</f>
        <v>754.692324324324</v>
      </c>
      <c r="X92" s="22" t="n">
        <f aca="false">X91*$H$15</f>
        <v>753.993535135135</v>
      </c>
      <c r="Y92" s="22" t="n">
        <f aca="false">Y91*$H$15</f>
        <v>811.294248648649</v>
      </c>
      <c r="Z92" s="22" t="n">
        <f aca="false">Z91*$H$15</f>
        <v>839.595210810811</v>
      </c>
      <c r="AA92" s="22" t="n">
        <f aca="false">AA91*$H$15</f>
        <v>835.75187027027</v>
      </c>
      <c r="AB92" s="22" t="n">
        <f aca="false">AB91*$H$15</f>
        <v>896.197135135135</v>
      </c>
      <c r="AC92" s="22" t="n">
        <f aca="false">AC91*$H$15</f>
        <v>890.257427027027</v>
      </c>
      <c r="AD92" s="22" t="n">
        <f aca="false">AD91*$H$15</f>
        <v>952.79905945946</v>
      </c>
      <c r="AE92" s="22" t="n">
        <f aca="false">AE91*$H$15</f>
        <v>981.100021621622</v>
      </c>
      <c r="AF92" s="22" t="n">
        <f aca="false">AF91*$H$15</f>
        <v>897.245318918919</v>
      </c>
      <c r="AG92" s="22" t="n">
        <f aca="false">AG91*$H$15</f>
        <v>1037.70194594595</v>
      </c>
      <c r="AH92" s="22" t="n">
        <f aca="false">AH91*$H$15</f>
        <v>1026.52131891892</v>
      </c>
      <c r="AI92" s="22" t="n">
        <f aca="false">AI91*$H$15</f>
        <v>1094.30387027027</v>
      </c>
      <c r="AJ92" s="22" t="n">
        <f aca="false">AJ91*$H$15</f>
        <v>1081.02687567568</v>
      </c>
      <c r="AK92" s="22" t="n">
        <f aca="false">AK91*$H$15</f>
        <v>1150.90579459459</v>
      </c>
      <c r="AL92" s="22" t="n">
        <f aca="false">AL91*$H$15</f>
        <v>1179.20675675676</v>
      </c>
    </row>
    <row r="93" customFormat="false" ht="15" hidden="false" customHeight="false" outlineLevel="0" collapsed="false">
      <c r="A93" s="6" t="s">
        <v>496</v>
      </c>
      <c r="C93" s="22" t="n">
        <f aca="false">C91*$K$15</f>
        <v>7.78650810810811</v>
      </c>
      <c r="D93" s="22" t="n">
        <f aca="false">D91*$K$15</f>
        <v>9.29888756756757</v>
      </c>
      <c r="E93" s="22" t="n">
        <f aca="false">E91*$K$15</f>
        <v>10.1224605405405</v>
      </c>
      <c r="F93" s="22" t="n">
        <f aca="false">F91*$K$15</f>
        <v>11.7246843243243</v>
      </c>
      <c r="G93" s="22" t="n">
        <f aca="false">G91*$K$15</f>
        <v>12.9375827027027</v>
      </c>
      <c r="H93" s="22" t="n">
        <f aca="false">H91*$K$15</f>
        <v>12.5782054054054</v>
      </c>
      <c r="I93" s="22" t="n">
        <f aca="false">I91*$K$15</f>
        <v>15.3633794594595</v>
      </c>
      <c r="J93" s="22" t="n">
        <f aca="false">J91*$K$15</f>
        <v>15.9623416216216</v>
      </c>
      <c r="K93" s="22" t="n">
        <f aca="false">K91*$K$15</f>
        <v>17.7891762162162</v>
      </c>
      <c r="L93" s="22" t="n">
        <f aca="false">L91*$K$15</f>
        <v>18.2982940540541</v>
      </c>
      <c r="M93" s="22" t="n">
        <f aca="false">M91*$K$15</f>
        <v>20.214972972973</v>
      </c>
      <c r="N93" s="22" t="n">
        <f aca="false">N91*$K$15</f>
        <v>21.4278713513514</v>
      </c>
      <c r="O93" s="22" t="n">
        <f aca="false">O91*$K$15</f>
        <v>21.8022227027027</v>
      </c>
      <c r="P93" s="22" t="n">
        <f aca="false">P91*$K$15</f>
        <v>23.8536681081081</v>
      </c>
      <c r="Q93" s="22" t="n">
        <f aca="false">Q91*$K$15</f>
        <v>24.1381751351351</v>
      </c>
      <c r="R93" s="22" t="n">
        <f aca="false">R91*$K$15</f>
        <v>26.2794648648649</v>
      </c>
      <c r="S93" s="22" t="n">
        <f aca="false">S91*$K$15</f>
        <v>27.4923632432432</v>
      </c>
      <c r="T93" s="22" t="n">
        <f aca="false">T91*$K$15</f>
        <v>26.5789459459459</v>
      </c>
      <c r="U93" s="22" t="n">
        <f aca="false">U91*$K$15</f>
        <v>29.91816</v>
      </c>
      <c r="V93" s="22" t="n">
        <f aca="false">V91*$K$15</f>
        <v>29.9780562162162</v>
      </c>
      <c r="W93" s="22" t="n">
        <f aca="false">W91*$K$15</f>
        <v>32.3439567567568</v>
      </c>
      <c r="X93" s="22" t="n">
        <f aca="false">X91*$K$15</f>
        <v>32.3140086486487</v>
      </c>
      <c r="Y93" s="22" t="n">
        <f aca="false">Y91*$K$15</f>
        <v>34.7697535135135</v>
      </c>
      <c r="Z93" s="22" t="n">
        <f aca="false">Z91*$K$15</f>
        <v>35.9826518918919</v>
      </c>
      <c r="AA93" s="22" t="n">
        <f aca="false">AA91*$K$15</f>
        <v>35.8179372972973</v>
      </c>
      <c r="AB93" s="22" t="n">
        <f aca="false">AB91*$K$15</f>
        <v>38.4084486486486</v>
      </c>
      <c r="AC93" s="22" t="n">
        <f aca="false">AC91*$K$15</f>
        <v>38.1538897297297</v>
      </c>
      <c r="AD93" s="22" t="n">
        <f aca="false">AD91*$K$15</f>
        <v>40.8342454054054</v>
      </c>
      <c r="AE93" s="22" t="n">
        <f aca="false">AE91*$K$15</f>
        <v>42.0471437837838</v>
      </c>
      <c r="AF93" s="22" t="n">
        <f aca="false">AF91*$K$15</f>
        <v>38.4533708108108</v>
      </c>
      <c r="AG93" s="22" t="n">
        <f aca="false">AG91*$K$15</f>
        <v>44.4729405405405</v>
      </c>
      <c r="AH93" s="22" t="n">
        <f aca="false">AH91*$K$15</f>
        <v>43.9937708108108</v>
      </c>
      <c r="AI93" s="22" t="n">
        <f aca="false">AI91*$K$15</f>
        <v>46.8987372972973</v>
      </c>
      <c r="AJ93" s="22" t="n">
        <f aca="false">AJ91*$K$15</f>
        <v>46.3297232432432</v>
      </c>
      <c r="AK93" s="22" t="n">
        <f aca="false">AK91*$K$15</f>
        <v>49.3245340540541</v>
      </c>
      <c r="AL93" s="22" t="n">
        <f aca="false">AL91*$K$15</f>
        <v>50.5374324324324</v>
      </c>
    </row>
    <row r="94" customFormat="false" ht="15" hidden="false" customHeight="false" outlineLevel="0" collapsed="false">
      <c r="A94" s="6" t="s">
        <v>497</v>
      </c>
      <c r="C94" s="14" t="n">
        <f aca="false">C91*$L$15/60*$M$15</f>
        <v>0</v>
      </c>
      <c r="D94" s="14" t="n">
        <f aca="false">D91*$L$15/60*$M$15</f>
        <v>0</v>
      </c>
      <c r="E94" s="14" t="n">
        <f aca="false">E91*$L$15/60*$M$15</f>
        <v>0</v>
      </c>
      <c r="F94" s="14" t="n">
        <f aca="false">F91*$L$15/60*$M$15</f>
        <v>0</v>
      </c>
      <c r="G94" s="14" t="n">
        <f aca="false">G91*$L$15/60*$M$15</f>
        <v>0</v>
      </c>
      <c r="H94" s="14" t="n">
        <f aca="false">H91*$L$15/60*$M$15</f>
        <v>0</v>
      </c>
      <c r="I94" s="14" t="n">
        <f aca="false">I91*$L$15/60*$M$15</f>
        <v>0</v>
      </c>
      <c r="J94" s="14" t="n">
        <f aca="false">J91*$L$15/60*$M$15</f>
        <v>0</v>
      </c>
      <c r="K94" s="14" t="n">
        <f aca="false">K91*$L$15/60*$M$15</f>
        <v>0</v>
      </c>
      <c r="L94" s="14" t="n">
        <f aca="false">L91*$L$15/60*$M$15</f>
        <v>0</v>
      </c>
      <c r="M94" s="14" t="n">
        <f aca="false">M91*$L$15/60*$M$15</f>
        <v>0</v>
      </c>
      <c r="N94" s="14" t="n">
        <f aca="false">N91*$L$15/60*$M$15</f>
        <v>0</v>
      </c>
      <c r="O94" s="14" t="n">
        <f aca="false">O91*$L$15/60*$M$15</f>
        <v>0</v>
      </c>
      <c r="P94" s="14" t="n">
        <f aca="false">P91*$L$15/60*$M$15</f>
        <v>0</v>
      </c>
      <c r="Q94" s="14" t="n">
        <f aca="false">Q91*$L$15/60*$M$15</f>
        <v>0</v>
      </c>
      <c r="R94" s="14" t="n">
        <f aca="false">R91*$L$15/60*$M$15</f>
        <v>0</v>
      </c>
      <c r="S94" s="14" t="n">
        <f aca="false">S91*$L$15/60*$M$15</f>
        <v>0</v>
      </c>
      <c r="T94" s="14" t="n">
        <f aca="false">T91*$L$15/60*$M$15</f>
        <v>0</v>
      </c>
      <c r="U94" s="14" t="n">
        <f aca="false">U91*$L$15/60*$M$15</f>
        <v>0</v>
      </c>
      <c r="V94" s="14" t="n">
        <f aca="false">V91*$L$15/60*$M$15</f>
        <v>0</v>
      </c>
      <c r="W94" s="14" t="n">
        <f aca="false">W91*$L$15/60*$M$15</f>
        <v>0</v>
      </c>
      <c r="X94" s="14" t="n">
        <f aca="false">X91*$L$15/60*$M$15</f>
        <v>0</v>
      </c>
      <c r="Y94" s="14" t="n">
        <f aca="false">Y91*$L$15/60*$M$15</f>
        <v>0</v>
      </c>
      <c r="Z94" s="14" t="n">
        <f aca="false">Z91*$L$15/60*$M$15</f>
        <v>0</v>
      </c>
      <c r="AA94" s="14" t="n">
        <f aca="false">AA91*$L$15/60*$M$15</f>
        <v>0</v>
      </c>
      <c r="AB94" s="14" t="n">
        <f aca="false">AB91*$L$15/60*$M$15</f>
        <v>0</v>
      </c>
      <c r="AC94" s="14" t="n">
        <f aca="false">AC91*$L$15/60*$M$15</f>
        <v>0</v>
      </c>
      <c r="AD94" s="14" t="n">
        <f aca="false">AD91*$L$15/60*$M$15</f>
        <v>0</v>
      </c>
      <c r="AE94" s="14" t="n">
        <f aca="false">AE91*$L$15/60*$M$15</f>
        <v>0</v>
      </c>
      <c r="AF94" s="14" t="n">
        <f aca="false">AF91*$L$15/60*$M$15</f>
        <v>0</v>
      </c>
      <c r="AG94" s="14" t="n">
        <f aca="false">AG91*$L$15/60*$M$15</f>
        <v>0</v>
      </c>
      <c r="AH94" s="14" t="n">
        <f aca="false">AH91*$L$15/60*$M$15</f>
        <v>0</v>
      </c>
      <c r="AI94" s="14" t="n">
        <f aca="false">AI91*$L$15/60*$M$15</f>
        <v>0</v>
      </c>
      <c r="AJ94" s="14" t="n">
        <f aca="false">AJ91*$L$15/60*$M$15</f>
        <v>0</v>
      </c>
      <c r="AK94" s="14" t="n">
        <f aca="false">AK91*$L$15/60*$M$15</f>
        <v>0</v>
      </c>
      <c r="AL94" s="14" t="n">
        <f aca="false">AL91*$L$15/60*$M$15</f>
        <v>0</v>
      </c>
    </row>
    <row r="95" customFormat="false" ht="15" hidden="false" customHeight="false" outlineLevel="0" collapsed="false">
      <c r="A95" s="36" t="s">
        <v>482</v>
      </c>
    </row>
    <row r="96" customFormat="false" ht="15" hidden="false" customHeight="false" outlineLevel="0" collapsed="false">
      <c r="A96" s="6" t="s">
        <v>493</v>
      </c>
      <c r="C96" s="14" t="n">
        <f aca="false">C$27*$N$16</f>
        <v>0</v>
      </c>
      <c r="D96" s="14" t="n">
        <f aca="false">D$27*$N$16</f>
        <v>0</v>
      </c>
      <c r="E96" s="14" t="n">
        <f aca="false">E$27*$N$16</f>
        <v>0</v>
      </c>
      <c r="F96" s="14" t="n">
        <f aca="false">F$27*$N$16</f>
        <v>0</v>
      </c>
      <c r="G96" s="14" t="n">
        <f aca="false">G$27*$N$16</f>
        <v>0</v>
      </c>
      <c r="H96" s="14" t="n">
        <f aca="false">H$27*$N$16</f>
        <v>0</v>
      </c>
      <c r="I96" s="14" t="n">
        <f aca="false">I$27*$N$16</f>
        <v>0</v>
      </c>
      <c r="J96" s="14" t="n">
        <f aca="false">J$27*$N$16</f>
        <v>0</v>
      </c>
      <c r="K96" s="14" t="n">
        <f aca="false">K$27*$N$16</f>
        <v>0</v>
      </c>
      <c r="L96" s="14" t="n">
        <f aca="false">L$27*$N$16</f>
        <v>0</v>
      </c>
      <c r="M96" s="14" t="n">
        <f aca="false">M$27*$N$16</f>
        <v>0</v>
      </c>
      <c r="N96" s="14" t="n">
        <f aca="false">N$27*$N$16</f>
        <v>0</v>
      </c>
      <c r="O96" s="14" t="n">
        <f aca="false">O$27*$N$16</f>
        <v>0</v>
      </c>
      <c r="P96" s="14" t="n">
        <f aca="false">P$27*$N$16</f>
        <v>0</v>
      </c>
      <c r="Q96" s="14" t="n">
        <f aca="false">Q$27*$N$16</f>
        <v>0</v>
      </c>
      <c r="R96" s="14" t="n">
        <f aca="false">R$27*$N$16</f>
        <v>0</v>
      </c>
      <c r="S96" s="14" t="n">
        <f aca="false">S$27*$N$16</f>
        <v>0</v>
      </c>
      <c r="T96" s="14" t="n">
        <f aca="false">T$27*$N$16</f>
        <v>0</v>
      </c>
      <c r="U96" s="14" t="n">
        <f aca="false">U$27*$N$16</f>
        <v>0</v>
      </c>
      <c r="V96" s="14" t="n">
        <f aca="false">V$27*$N$16</f>
        <v>0</v>
      </c>
      <c r="W96" s="14" t="n">
        <f aca="false">W$27*$N$16</f>
        <v>0</v>
      </c>
      <c r="X96" s="14" t="n">
        <f aca="false">X$27*$N$16</f>
        <v>0</v>
      </c>
      <c r="Y96" s="14" t="n">
        <f aca="false">Y$27*$N$16</f>
        <v>0</v>
      </c>
      <c r="Z96" s="14" t="n">
        <f aca="false">Z$27*$N$16</f>
        <v>0</v>
      </c>
      <c r="AA96" s="14" t="n">
        <f aca="false">AA$27*$N$16</f>
        <v>0</v>
      </c>
      <c r="AB96" s="14" t="n">
        <f aca="false">AB$27*$N$16</f>
        <v>0</v>
      </c>
      <c r="AC96" s="14" t="n">
        <f aca="false">AC$27*$N$16</f>
        <v>0</v>
      </c>
      <c r="AD96" s="14" t="n">
        <f aca="false">AD$27*$N$16</f>
        <v>0</v>
      </c>
      <c r="AE96" s="14" t="n">
        <f aca="false">AE$27*$N$16</f>
        <v>0</v>
      </c>
      <c r="AF96" s="14" t="n">
        <f aca="false">AF$27*$N$16</f>
        <v>0</v>
      </c>
      <c r="AG96" s="14" t="n">
        <f aca="false">AG$27*$N$16</f>
        <v>0</v>
      </c>
      <c r="AH96" s="14" t="n">
        <f aca="false">AH$27*$N$16</f>
        <v>0</v>
      </c>
      <c r="AI96" s="14" t="n">
        <f aca="false">AI$27*$N$16</f>
        <v>0</v>
      </c>
      <c r="AJ96" s="14" t="n">
        <f aca="false">AJ$27*$N$16</f>
        <v>0</v>
      </c>
      <c r="AK96" s="14" t="n">
        <f aca="false">AK$27*$N$16</f>
        <v>0</v>
      </c>
      <c r="AL96" s="14" t="n">
        <f aca="false">AL$27*$N$16</f>
        <v>0</v>
      </c>
    </row>
    <row r="97" customFormat="false" ht="15" hidden="false" customHeight="false" outlineLevel="0" collapsed="false">
      <c r="A97" s="6" t="s">
        <v>494</v>
      </c>
      <c r="C97" s="14" t="n">
        <f aca="false">IF($E$16=0,0,C96*60/$E$16)</f>
        <v>0</v>
      </c>
      <c r="D97" s="14" t="n">
        <f aca="false">IF($E$16=0,0,D96*60/$E$16)</f>
        <v>0</v>
      </c>
      <c r="E97" s="14" t="n">
        <f aca="false">IF($E$16=0,0,E96*60/$E$16)</f>
        <v>0</v>
      </c>
      <c r="F97" s="14" t="n">
        <f aca="false">IF($E$16=0,0,F96*60/$E$16)</f>
        <v>0</v>
      </c>
      <c r="G97" s="14" t="n">
        <f aca="false">IF($E$16=0,0,G96*60/$E$16)</f>
        <v>0</v>
      </c>
      <c r="H97" s="14" t="n">
        <f aca="false">IF($E$16=0,0,H96*60/$E$16)</f>
        <v>0</v>
      </c>
      <c r="I97" s="14" t="n">
        <f aca="false">IF($E$16=0,0,I96*60/$E$16)</f>
        <v>0</v>
      </c>
      <c r="J97" s="14" t="n">
        <f aca="false">IF($E$16=0,0,J96*60/$E$16)</f>
        <v>0</v>
      </c>
      <c r="K97" s="14" t="n">
        <f aca="false">IF($E$16=0,0,K96*60/$E$16)</f>
        <v>0</v>
      </c>
      <c r="L97" s="14" t="n">
        <f aca="false">IF($E$16=0,0,L96*60/$E$16)</f>
        <v>0</v>
      </c>
      <c r="M97" s="14" t="n">
        <f aca="false">IF($E$16=0,0,M96*60/$E$16)</f>
        <v>0</v>
      </c>
      <c r="N97" s="14" t="n">
        <f aca="false">IF($E$16=0,0,N96*60/$E$16)</f>
        <v>0</v>
      </c>
      <c r="O97" s="14" t="n">
        <f aca="false">IF($E$16=0,0,O96*60/$E$16)</f>
        <v>0</v>
      </c>
      <c r="P97" s="14" t="n">
        <f aca="false">IF($E$16=0,0,P96*60/$E$16)</f>
        <v>0</v>
      </c>
      <c r="Q97" s="14" t="n">
        <f aca="false">IF($E$16=0,0,Q96*60/$E$16)</f>
        <v>0</v>
      </c>
      <c r="R97" s="14" t="n">
        <f aca="false">IF($E$16=0,0,R96*60/$E$16)</f>
        <v>0</v>
      </c>
      <c r="S97" s="14" t="n">
        <f aca="false">IF($E$16=0,0,S96*60/$E$16)</f>
        <v>0</v>
      </c>
      <c r="T97" s="14" t="n">
        <f aca="false">IF($E$16=0,0,T96*60/$E$16)</f>
        <v>0</v>
      </c>
      <c r="U97" s="14" t="n">
        <f aca="false">IF($E$16=0,0,U96*60/$E$16)</f>
        <v>0</v>
      </c>
      <c r="V97" s="14" t="n">
        <f aca="false">IF($E$16=0,0,V96*60/$E$16)</f>
        <v>0</v>
      </c>
      <c r="W97" s="14" t="n">
        <f aca="false">IF($E$16=0,0,W96*60/$E$16)</f>
        <v>0</v>
      </c>
      <c r="X97" s="14" t="n">
        <f aca="false">IF($E$16=0,0,X96*60/$E$16)</f>
        <v>0</v>
      </c>
      <c r="Y97" s="14" t="n">
        <f aca="false">IF($E$16=0,0,Y96*60/$E$16)</f>
        <v>0</v>
      </c>
      <c r="Z97" s="14" t="n">
        <f aca="false">IF($E$16=0,0,Z96*60/$E$16)</f>
        <v>0</v>
      </c>
      <c r="AA97" s="14" t="n">
        <f aca="false">IF($E$16=0,0,AA96*60/$E$16)</f>
        <v>0</v>
      </c>
      <c r="AB97" s="14" t="n">
        <f aca="false">IF($E$16=0,0,AB96*60/$E$16)</f>
        <v>0</v>
      </c>
      <c r="AC97" s="14" t="n">
        <f aca="false">IF($E$16=0,0,AC96*60/$E$16)</f>
        <v>0</v>
      </c>
      <c r="AD97" s="14" t="n">
        <f aca="false">IF($E$16=0,0,AD96*60/$E$16)</f>
        <v>0</v>
      </c>
      <c r="AE97" s="14" t="n">
        <f aca="false">IF($E$16=0,0,AE96*60/$E$16)</f>
        <v>0</v>
      </c>
      <c r="AF97" s="14" t="n">
        <f aca="false">IF($E$16=0,0,AF96*60/$E$16)</f>
        <v>0</v>
      </c>
      <c r="AG97" s="14" t="n">
        <f aca="false">IF($E$16=0,0,AG96*60/$E$16)</f>
        <v>0</v>
      </c>
      <c r="AH97" s="14" t="n">
        <f aca="false">IF($E$16=0,0,AH96*60/$E$16)</f>
        <v>0</v>
      </c>
      <c r="AI97" s="14" t="n">
        <f aca="false">IF($E$16=0,0,AI96*60/$E$16)</f>
        <v>0</v>
      </c>
      <c r="AJ97" s="14" t="n">
        <f aca="false">IF($E$16=0,0,AJ96*60/$E$16)</f>
        <v>0</v>
      </c>
      <c r="AK97" s="14" t="n">
        <f aca="false">IF($E$16=0,0,AK96*60/$E$16)</f>
        <v>0</v>
      </c>
      <c r="AL97" s="14" t="n">
        <f aca="false">IF($E$16=0,0,AL96*60/$E$16)</f>
        <v>0</v>
      </c>
    </row>
    <row r="98" customFormat="false" ht="15" hidden="false" customHeight="false" outlineLevel="0" collapsed="false">
      <c r="A98" s="6" t="s">
        <v>495</v>
      </c>
      <c r="C98" s="22" t="n">
        <f aca="false">C97*$H$16</f>
        <v>0</v>
      </c>
      <c r="D98" s="22" t="n">
        <f aca="false">D97*$H$16</f>
        <v>0</v>
      </c>
      <c r="E98" s="22" t="n">
        <f aca="false">E97*$H$16</f>
        <v>0</v>
      </c>
      <c r="F98" s="22" t="n">
        <f aca="false">F97*$H$16</f>
        <v>0</v>
      </c>
      <c r="G98" s="22" t="n">
        <f aca="false">G97*$H$16</f>
        <v>0</v>
      </c>
      <c r="H98" s="22" t="n">
        <f aca="false">H97*$H$16</f>
        <v>0</v>
      </c>
      <c r="I98" s="22" t="n">
        <f aca="false">I97*$H$16</f>
        <v>0</v>
      </c>
      <c r="J98" s="22" t="n">
        <f aca="false">J97*$H$16</f>
        <v>0</v>
      </c>
      <c r="K98" s="22" t="n">
        <f aca="false">K97*$H$16</f>
        <v>0</v>
      </c>
      <c r="L98" s="22" t="n">
        <f aca="false">L97*$H$16</f>
        <v>0</v>
      </c>
      <c r="M98" s="22" t="n">
        <f aca="false">M97*$H$16</f>
        <v>0</v>
      </c>
      <c r="N98" s="22" t="n">
        <f aca="false">N97*$H$16</f>
        <v>0</v>
      </c>
      <c r="O98" s="22" t="n">
        <f aca="false">O97*$H$16</f>
        <v>0</v>
      </c>
      <c r="P98" s="22" t="n">
        <f aca="false">P97*$H$16</f>
        <v>0</v>
      </c>
      <c r="Q98" s="22" t="n">
        <f aca="false">Q97*$H$16</f>
        <v>0</v>
      </c>
      <c r="R98" s="22" t="n">
        <f aca="false">R97*$H$16</f>
        <v>0</v>
      </c>
      <c r="S98" s="22" t="n">
        <f aca="false">S97*$H$16</f>
        <v>0</v>
      </c>
      <c r="T98" s="22" t="n">
        <f aca="false">T97*$H$16</f>
        <v>0</v>
      </c>
      <c r="U98" s="22" t="n">
        <f aca="false">U97*$H$16</f>
        <v>0</v>
      </c>
      <c r="V98" s="22" t="n">
        <f aca="false">V97*$H$16</f>
        <v>0</v>
      </c>
      <c r="W98" s="22" t="n">
        <f aca="false">W97*$H$16</f>
        <v>0</v>
      </c>
      <c r="X98" s="22" t="n">
        <f aca="false">X97*$H$16</f>
        <v>0</v>
      </c>
      <c r="Y98" s="22" t="n">
        <f aca="false">Y97*$H$16</f>
        <v>0</v>
      </c>
      <c r="Z98" s="22" t="n">
        <f aca="false">Z97*$H$16</f>
        <v>0</v>
      </c>
      <c r="AA98" s="22" t="n">
        <f aca="false">AA97*$H$16</f>
        <v>0</v>
      </c>
      <c r="AB98" s="22" t="n">
        <f aca="false">AB97*$H$16</f>
        <v>0</v>
      </c>
      <c r="AC98" s="22" t="n">
        <f aca="false">AC97*$H$16</f>
        <v>0</v>
      </c>
      <c r="AD98" s="22" t="n">
        <f aca="false">AD97*$H$16</f>
        <v>0</v>
      </c>
      <c r="AE98" s="22" t="n">
        <f aca="false">AE97*$H$16</f>
        <v>0</v>
      </c>
      <c r="AF98" s="22" t="n">
        <f aca="false">AF97*$H$16</f>
        <v>0</v>
      </c>
      <c r="AG98" s="22" t="n">
        <f aca="false">AG97*$H$16</f>
        <v>0</v>
      </c>
      <c r="AH98" s="22" t="n">
        <f aca="false">AH97*$H$16</f>
        <v>0</v>
      </c>
      <c r="AI98" s="22" t="n">
        <f aca="false">AI97*$H$16</f>
        <v>0</v>
      </c>
      <c r="AJ98" s="22" t="n">
        <f aca="false">AJ97*$H$16</f>
        <v>0</v>
      </c>
      <c r="AK98" s="22" t="n">
        <f aca="false">AK97*$H$16</f>
        <v>0</v>
      </c>
      <c r="AL98" s="22" t="n">
        <f aca="false">AL97*$H$16</f>
        <v>0</v>
      </c>
    </row>
    <row r="99" customFormat="false" ht="15" hidden="false" customHeight="false" outlineLevel="0" collapsed="false">
      <c r="A99" s="6" t="s">
        <v>496</v>
      </c>
      <c r="C99" s="22" t="n">
        <f aca="false">C97*$K$16</f>
        <v>0</v>
      </c>
      <c r="D99" s="22" t="n">
        <f aca="false">D97*$K$16</f>
        <v>0</v>
      </c>
      <c r="E99" s="22" t="n">
        <f aca="false">E97*$K$16</f>
        <v>0</v>
      </c>
      <c r="F99" s="22" t="n">
        <f aca="false">F97*$K$16</f>
        <v>0</v>
      </c>
      <c r="G99" s="22" t="n">
        <f aca="false">G97*$K$16</f>
        <v>0</v>
      </c>
      <c r="H99" s="22" t="n">
        <f aca="false">H97*$K$16</f>
        <v>0</v>
      </c>
      <c r="I99" s="22" t="n">
        <f aca="false">I97*$K$16</f>
        <v>0</v>
      </c>
      <c r="J99" s="22" t="n">
        <f aca="false">J97*$K$16</f>
        <v>0</v>
      </c>
      <c r="K99" s="22" t="n">
        <f aca="false">K97*$K$16</f>
        <v>0</v>
      </c>
      <c r="L99" s="22" t="n">
        <f aca="false">L97*$K$16</f>
        <v>0</v>
      </c>
      <c r="M99" s="22" t="n">
        <f aca="false">M97*$K$16</f>
        <v>0</v>
      </c>
      <c r="N99" s="22" t="n">
        <f aca="false">N97*$K$16</f>
        <v>0</v>
      </c>
      <c r="O99" s="22" t="n">
        <f aca="false">O97*$K$16</f>
        <v>0</v>
      </c>
      <c r="P99" s="22" t="n">
        <f aca="false">P97*$K$16</f>
        <v>0</v>
      </c>
      <c r="Q99" s="22" t="n">
        <f aca="false">Q97*$K$16</f>
        <v>0</v>
      </c>
      <c r="R99" s="22" t="n">
        <f aca="false">R97*$K$16</f>
        <v>0</v>
      </c>
      <c r="S99" s="22" t="n">
        <f aca="false">S97*$K$16</f>
        <v>0</v>
      </c>
      <c r="T99" s="22" t="n">
        <f aca="false">T97*$K$16</f>
        <v>0</v>
      </c>
      <c r="U99" s="22" t="n">
        <f aca="false">U97*$K$16</f>
        <v>0</v>
      </c>
      <c r="V99" s="22" t="n">
        <f aca="false">V97*$K$16</f>
        <v>0</v>
      </c>
      <c r="W99" s="22" t="n">
        <f aca="false">W97*$K$16</f>
        <v>0</v>
      </c>
      <c r="X99" s="22" t="n">
        <f aca="false">X97*$K$16</f>
        <v>0</v>
      </c>
      <c r="Y99" s="22" t="n">
        <f aca="false">Y97*$K$16</f>
        <v>0</v>
      </c>
      <c r="Z99" s="22" t="n">
        <f aca="false">Z97*$K$16</f>
        <v>0</v>
      </c>
      <c r="AA99" s="22" t="n">
        <f aca="false">AA97*$K$16</f>
        <v>0</v>
      </c>
      <c r="AB99" s="22" t="n">
        <f aca="false">AB97*$K$16</f>
        <v>0</v>
      </c>
      <c r="AC99" s="22" t="n">
        <f aca="false">AC97*$K$16</f>
        <v>0</v>
      </c>
      <c r="AD99" s="22" t="n">
        <f aca="false">AD97*$K$16</f>
        <v>0</v>
      </c>
      <c r="AE99" s="22" t="n">
        <f aca="false">AE97*$K$16</f>
        <v>0</v>
      </c>
      <c r="AF99" s="22" t="n">
        <f aca="false">AF97*$K$16</f>
        <v>0</v>
      </c>
      <c r="AG99" s="22" t="n">
        <f aca="false">AG97*$K$16</f>
        <v>0</v>
      </c>
      <c r="AH99" s="22" t="n">
        <f aca="false">AH97*$K$16</f>
        <v>0</v>
      </c>
      <c r="AI99" s="22" t="n">
        <f aca="false">AI97*$K$16</f>
        <v>0</v>
      </c>
      <c r="AJ99" s="22" t="n">
        <f aca="false">AJ97*$K$16</f>
        <v>0</v>
      </c>
      <c r="AK99" s="22" t="n">
        <f aca="false">AK97*$K$16</f>
        <v>0</v>
      </c>
      <c r="AL99" s="22" t="n">
        <f aca="false">AL97*$K$16</f>
        <v>0</v>
      </c>
    </row>
    <row r="100" customFormat="false" ht="15" hidden="false" customHeight="false" outlineLevel="0" collapsed="false">
      <c r="A100" s="6" t="s">
        <v>497</v>
      </c>
      <c r="C100" s="14" t="n">
        <f aca="false">C97*$L$16/60*$M$16</f>
        <v>0</v>
      </c>
      <c r="D100" s="14" t="n">
        <f aca="false">D97*$L$16/60*$M$16</f>
        <v>0</v>
      </c>
      <c r="E100" s="14" t="n">
        <f aca="false">E97*$L$16/60*$M$16</f>
        <v>0</v>
      </c>
      <c r="F100" s="14" t="n">
        <f aca="false">F97*$L$16/60*$M$16</f>
        <v>0</v>
      </c>
      <c r="G100" s="14" t="n">
        <f aca="false">G97*$L$16/60*$M$16</f>
        <v>0</v>
      </c>
      <c r="H100" s="14" t="n">
        <f aca="false">H97*$L$16/60*$M$16</f>
        <v>0</v>
      </c>
      <c r="I100" s="14" t="n">
        <f aca="false">I97*$L$16/60*$M$16</f>
        <v>0</v>
      </c>
      <c r="J100" s="14" t="n">
        <f aca="false">J97*$L$16/60*$M$16</f>
        <v>0</v>
      </c>
      <c r="K100" s="14" t="n">
        <f aca="false">K97*$L$16/60*$M$16</f>
        <v>0</v>
      </c>
      <c r="L100" s="14" t="n">
        <f aca="false">L97*$L$16/60*$M$16</f>
        <v>0</v>
      </c>
      <c r="M100" s="14" t="n">
        <f aca="false">M97*$L$16/60*$M$16</f>
        <v>0</v>
      </c>
      <c r="N100" s="14" t="n">
        <f aca="false">N97*$L$16/60*$M$16</f>
        <v>0</v>
      </c>
      <c r="O100" s="14" t="n">
        <f aca="false">O97*$L$16/60*$M$16</f>
        <v>0</v>
      </c>
      <c r="P100" s="14" t="n">
        <f aca="false">P97*$L$16/60*$M$16</f>
        <v>0</v>
      </c>
      <c r="Q100" s="14" t="n">
        <f aca="false">Q97*$L$16/60*$M$16</f>
        <v>0</v>
      </c>
      <c r="R100" s="14" t="n">
        <f aca="false">R97*$L$16/60*$M$16</f>
        <v>0</v>
      </c>
      <c r="S100" s="14" t="n">
        <f aca="false">S97*$L$16/60*$M$16</f>
        <v>0</v>
      </c>
      <c r="T100" s="14" t="n">
        <f aca="false">T97*$L$16/60*$M$16</f>
        <v>0</v>
      </c>
      <c r="U100" s="14" t="n">
        <f aca="false">U97*$L$16/60*$M$16</f>
        <v>0</v>
      </c>
      <c r="V100" s="14" t="n">
        <f aca="false">V97*$L$16/60*$M$16</f>
        <v>0</v>
      </c>
      <c r="W100" s="14" t="n">
        <f aca="false">W97*$L$16/60*$M$16</f>
        <v>0</v>
      </c>
      <c r="X100" s="14" t="n">
        <f aca="false">X97*$L$16/60*$M$16</f>
        <v>0</v>
      </c>
      <c r="Y100" s="14" t="n">
        <f aca="false">Y97*$L$16/60*$M$16</f>
        <v>0</v>
      </c>
      <c r="Z100" s="14" t="n">
        <f aca="false">Z97*$L$16/60*$M$16</f>
        <v>0</v>
      </c>
      <c r="AA100" s="14" t="n">
        <f aca="false">AA97*$L$16/60*$M$16</f>
        <v>0</v>
      </c>
      <c r="AB100" s="14" t="n">
        <f aca="false">AB97*$L$16/60*$M$16</f>
        <v>0</v>
      </c>
      <c r="AC100" s="14" t="n">
        <f aca="false">AC97*$L$16/60*$M$16</f>
        <v>0</v>
      </c>
      <c r="AD100" s="14" t="n">
        <f aca="false">AD97*$L$16/60*$M$16</f>
        <v>0</v>
      </c>
      <c r="AE100" s="14" t="n">
        <f aca="false">AE97*$L$16/60*$M$16</f>
        <v>0</v>
      </c>
      <c r="AF100" s="14" t="n">
        <f aca="false">AF97*$L$16/60*$M$16</f>
        <v>0</v>
      </c>
      <c r="AG100" s="14" t="n">
        <f aca="false">AG97*$L$16/60*$M$16</f>
        <v>0</v>
      </c>
      <c r="AH100" s="14" t="n">
        <f aca="false">AH97*$L$16/60*$M$16</f>
        <v>0</v>
      </c>
      <c r="AI100" s="14" t="n">
        <f aca="false">AI97*$L$16/60*$M$16</f>
        <v>0</v>
      </c>
      <c r="AJ100" s="14" t="n">
        <f aca="false">AJ97*$L$16/60*$M$16</f>
        <v>0</v>
      </c>
      <c r="AK100" s="14" t="n">
        <f aca="false">AK97*$L$16/60*$M$16</f>
        <v>0</v>
      </c>
      <c r="AL100" s="14" t="n">
        <f aca="false">AL97*$L$16/60*$M$16</f>
        <v>0</v>
      </c>
    </row>
    <row r="101" customFormat="false" ht="15" hidden="false" customHeight="false" outlineLevel="0" collapsed="false">
      <c r="A101" s="36" t="s">
        <v>483</v>
      </c>
    </row>
    <row r="102" customFormat="false" ht="15" hidden="false" customHeight="false" outlineLevel="0" collapsed="false">
      <c r="A102" s="6" t="s">
        <v>493</v>
      </c>
      <c r="C102" s="14" t="n">
        <f aca="false">C$27*$N$17</f>
        <v>0</v>
      </c>
      <c r="D102" s="14" t="n">
        <f aca="false">D$27*$N$17</f>
        <v>0</v>
      </c>
      <c r="E102" s="14" t="n">
        <f aca="false">E$27*$N$17</f>
        <v>0</v>
      </c>
      <c r="F102" s="14" t="n">
        <f aca="false">F$27*$N$17</f>
        <v>0</v>
      </c>
      <c r="G102" s="14" t="n">
        <f aca="false">G$27*$N$17</f>
        <v>0</v>
      </c>
      <c r="H102" s="14" t="n">
        <f aca="false">H$27*$N$17</f>
        <v>0</v>
      </c>
      <c r="I102" s="14" t="n">
        <f aca="false">I$27*$N$17</f>
        <v>0</v>
      </c>
      <c r="J102" s="14" t="n">
        <f aca="false">J$27*$N$17</f>
        <v>0</v>
      </c>
      <c r="K102" s="14" t="n">
        <f aca="false">K$27*$N$17</f>
        <v>0</v>
      </c>
      <c r="L102" s="14" t="n">
        <f aca="false">L$27*$N$17</f>
        <v>0</v>
      </c>
      <c r="M102" s="14" t="n">
        <f aca="false">M$27*$N$17</f>
        <v>0</v>
      </c>
      <c r="N102" s="14" t="n">
        <f aca="false">N$27*$N$17</f>
        <v>0</v>
      </c>
      <c r="O102" s="14" t="n">
        <f aca="false">O$27*$N$17</f>
        <v>0</v>
      </c>
      <c r="P102" s="14" t="n">
        <f aca="false">P$27*$N$17</f>
        <v>0</v>
      </c>
      <c r="Q102" s="14" t="n">
        <f aca="false">Q$27*$N$17</f>
        <v>0</v>
      </c>
      <c r="R102" s="14" t="n">
        <f aca="false">R$27*$N$17</f>
        <v>0</v>
      </c>
      <c r="S102" s="14" t="n">
        <f aca="false">S$27*$N$17</f>
        <v>0</v>
      </c>
      <c r="T102" s="14" t="n">
        <f aca="false">T$27*$N$17</f>
        <v>0</v>
      </c>
      <c r="U102" s="14" t="n">
        <f aca="false">U$27*$N$17</f>
        <v>0</v>
      </c>
      <c r="V102" s="14" t="n">
        <f aca="false">V$27*$N$17</f>
        <v>0</v>
      </c>
      <c r="W102" s="14" t="n">
        <f aca="false">W$27*$N$17</f>
        <v>0</v>
      </c>
      <c r="X102" s="14" t="n">
        <f aca="false">X$27*$N$17</f>
        <v>0</v>
      </c>
      <c r="Y102" s="14" t="n">
        <f aca="false">Y$27*$N$17</f>
        <v>0</v>
      </c>
      <c r="Z102" s="14" t="n">
        <f aca="false">Z$27*$N$17</f>
        <v>0</v>
      </c>
      <c r="AA102" s="14" t="n">
        <f aca="false">AA$27*$N$17</f>
        <v>0</v>
      </c>
      <c r="AB102" s="14" t="n">
        <f aca="false">AB$27*$N$17</f>
        <v>0</v>
      </c>
      <c r="AC102" s="14" t="n">
        <f aca="false">AC$27*$N$17</f>
        <v>0</v>
      </c>
      <c r="AD102" s="14" t="n">
        <f aca="false">AD$27*$N$17</f>
        <v>0</v>
      </c>
      <c r="AE102" s="14" t="n">
        <f aca="false">AE$27*$N$17</f>
        <v>0</v>
      </c>
      <c r="AF102" s="14" t="n">
        <f aca="false">AF$27*$N$17</f>
        <v>0</v>
      </c>
      <c r="AG102" s="14" t="n">
        <f aca="false">AG$27*$N$17</f>
        <v>0</v>
      </c>
      <c r="AH102" s="14" t="n">
        <f aca="false">AH$27*$N$17</f>
        <v>0</v>
      </c>
      <c r="AI102" s="14" t="n">
        <f aca="false">AI$27*$N$17</f>
        <v>0</v>
      </c>
      <c r="AJ102" s="14" t="n">
        <f aca="false">AJ$27*$N$17</f>
        <v>0</v>
      </c>
      <c r="AK102" s="14" t="n">
        <f aca="false">AK$27*$N$17</f>
        <v>0</v>
      </c>
      <c r="AL102" s="14" t="n">
        <f aca="false">AL$27*$N$17</f>
        <v>0</v>
      </c>
    </row>
    <row r="103" customFormat="false" ht="15" hidden="false" customHeight="false" outlineLevel="0" collapsed="false">
      <c r="A103" s="6" t="s">
        <v>494</v>
      </c>
      <c r="C103" s="14" t="n">
        <f aca="false">IF($E$17=0,0,C102*60/$E$17)</f>
        <v>0</v>
      </c>
      <c r="D103" s="14" t="n">
        <f aca="false">IF($E$17=0,0,D102*60/$E$17)</f>
        <v>0</v>
      </c>
      <c r="E103" s="14" t="n">
        <f aca="false">IF($E$17=0,0,E102*60/$E$17)</f>
        <v>0</v>
      </c>
      <c r="F103" s="14" t="n">
        <f aca="false">IF($E$17=0,0,F102*60/$E$17)</f>
        <v>0</v>
      </c>
      <c r="G103" s="14" t="n">
        <f aca="false">IF($E$17=0,0,G102*60/$E$17)</f>
        <v>0</v>
      </c>
      <c r="H103" s="14" t="n">
        <f aca="false">IF($E$17=0,0,H102*60/$E$17)</f>
        <v>0</v>
      </c>
      <c r="I103" s="14" t="n">
        <f aca="false">IF($E$17=0,0,I102*60/$E$17)</f>
        <v>0</v>
      </c>
      <c r="J103" s="14" t="n">
        <f aca="false">IF($E$17=0,0,J102*60/$E$17)</f>
        <v>0</v>
      </c>
      <c r="K103" s="14" t="n">
        <f aca="false">IF($E$17=0,0,K102*60/$E$17)</f>
        <v>0</v>
      </c>
      <c r="L103" s="14" t="n">
        <f aca="false">IF($E$17=0,0,L102*60/$E$17)</f>
        <v>0</v>
      </c>
      <c r="M103" s="14" t="n">
        <f aca="false">IF($E$17=0,0,M102*60/$E$17)</f>
        <v>0</v>
      </c>
      <c r="N103" s="14" t="n">
        <f aca="false">IF($E$17=0,0,N102*60/$E$17)</f>
        <v>0</v>
      </c>
      <c r="O103" s="14" t="n">
        <f aca="false">IF($E$17=0,0,O102*60/$E$17)</f>
        <v>0</v>
      </c>
      <c r="P103" s="14" t="n">
        <f aca="false">IF($E$17=0,0,P102*60/$E$17)</f>
        <v>0</v>
      </c>
      <c r="Q103" s="14" t="n">
        <f aca="false">IF($E$17=0,0,Q102*60/$E$17)</f>
        <v>0</v>
      </c>
      <c r="R103" s="14" t="n">
        <f aca="false">IF($E$17=0,0,R102*60/$E$17)</f>
        <v>0</v>
      </c>
      <c r="S103" s="14" t="n">
        <f aca="false">IF($E$17=0,0,S102*60/$E$17)</f>
        <v>0</v>
      </c>
      <c r="T103" s="14" t="n">
        <f aca="false">IF($E$17=0,0,T102*60/$E$17)</f>
        <v>0</v>
      </c>
      <c r="U103" s="14" t="n">
        <f aca="false">IF($E$17=0,0,U102*60/$E$17)</f>
        <v>0</v>
      </c>
      <c r="V103" s="14" t="n">
        <f aca="false">IF($E$17=0,0,V102*60/$E$17)</f>
        <v>0</v>
      </c>
      <c r="W103" s="14" t="n">
        <f aca="false">IF($E$17=0,0,W102*60/$E$17)</f>
        <v>0</v>
      </c>
      <c r="X103" s="14" t="n">
        <f aca="false">IF($E$17=0,0,X102*60/$E$17)</f>
        <v>0</v>
      </c>
      <c r="Y103" s="14" t="n">
        <f aca="false">IF($E$17=0,0,Y102*60/$E$17)</f>
        <v>0</v>
      </c>
      <c r="Z103" s="14" t="n">
        <f aca="false">IF($E$17=0,0,Z102*60/$E$17)</f>
        <v>0</v>
      </c>
      <c r="AA103" s="14" t="n">
        <f aca="false">IF($E$17=0,0,AA102*60/$E$17)</f>
        <v>0</v>
      </c>
      <c r="AB103" s="14" t="n">
        <f aca="false">IF($E$17=0,0,AB102*60/$E$17)</f>
        <v>0</v>
      </c>
      <c r="AC103" s="14" t="n">
        <f aca="false">IF($E$17=0,0,AC102*60/$E$17)</f>
        <v>0</v>
      </c>
      <c r="AD103" s="14" t="n">
        <f aca="false">IF($E$17=0,0,AD102*60/$E$17)</f>
        <v>0</v>
      </c>
      <c r="AE103" s="14" t="n">
        <f aca="false">IF($E$17=0,0,AE102*60/$E$17)</f>
        <v>0</v>
      </c>
      <c r="AF103" s="14" t="n">
        <f aca="false">IF($E$17=0,0,AF102*60/$E$17)</f>
        <v>0</v>
      </c>
      <c r="AG103" s="14" t="n">
        <f aca="false">IF($E$17=0,0,AG102*60/$E$17)</f>
        <v>0</v>
      </c>
      <c r="AH103" s="14" t="n">
        <f aca="false">IF($E$17=0,0,AH102*60/$E$17)</f>
        <v>0</v>
      </c>
      <c r="AI103" s="14" t="n">
        <f aca="false">IF($E$17=0,0,AI102*60/$E$17)</f>
        <v>0</v>
      </c>
      <c r="AJ103" s="14" t="n">
        <f aca="false">IF($E$17=0,0,AJ102*60/$E$17)</f>
        <v>0</v>
      </c>
      <c r="AK103" s="14" t="n">
        <f aca="false">IF($E$17=0,0,AK102*60/$E$17)</f>
        <v>0</v>
      </c>
      <c r="AL103" s="14" t="n">
        <f aca="false">IF($E$17=0,0,AL102*60/$E$17)</f>
        <v>0</v>
      </c>
    </row>
    <row r="104" customFormat="false" ht="15" hidden="false" customHeight="false" outlineLevel="0" collapsed="false">
      <c r="A104" s="6" t="s">
        <v>495</v>
      </c>
      <c r="C104" s="22" t="n">
        <f aca="false">C103*$H$17</f>
        <v>0</v>
      </c>
      <c r="D104" s="22" t="n">
        <f aca="false">D103*$H$17</f>
        <v>0</v>
      </c>
      <c r="E104" s="22" t="n">
        <f aca="false">E103*$H$17</f>
        <v>0</v>
      </c>
      <c r="F104" s="22" t="n">
        <f aca="false">F103*$H$17</f>
        <v>0</v>
      </c>
      <c r="G104" s="22" t="n">
        <f aca="false">G103*$H$17</f>
        <v>0</v>
      </c>
      <c r="H104" s="22" t="n">
        <f aca="false">H103*$H$17</f>
        <v>0</v>
      </c>
      <c r="I104" s="22" t="n">
        <f aca="false">I103*$H$17</f>
        <v>0</v>
      </c>
      <c r="J104" s="22" t="n">
        <f aca="false">J103*$H$17</f>
        <v>0</v>
      </c>
      <c r="K104" s="22" t="n">
        <f aca="false">K103*$H$17</f>
        <v>0</v>
      </c>
      <c r="L104" s="22" t="n">
        <f aca="false">L103*$H$17</f>
        <v>0</v>
      </c>
      <c r="M104" s="22" t="n">
        <f aca="false">M103*$H$17</f>
        <v>0</v>
      </c>
      <c r="N104" s="22" t="n">
        <f aca="false">N103*$H$17</f>
        <v>0</v>
      </c>
      <c r="O104" s="22" t="n">
        <f aca="false">O103*$H$17</f>
        <v>0</v>
      </c>
      <c r="P104" s="22" t="n">
        <f aca="false">P103*$H$17</f>
        <v>0</v>
      </c>
      <c r="Q104" s="22" t="n">
        <f aca="false">Q103*$H$17</f>
        <v>0</v>
      </c>
      <c r="R104" s="22" t="n">
        <f aca="false">R103*$H$17</f>
        <v>0</v>
      </c>
      <c r="S104" s="22" t="n">
        <f aca="false">S103*$H$17</f>
        <v>0</v>
      </c>
      <c r="T104" s="22" t="n">
        <f aca="false">T103*$H$17</f>
        <v>0</v>
      </c>
      <c r="U104" s="22" t="n">
        <f aca="false">U103*$H$17</f>
        <v>0</v>
      </c>
      <c r="V104" s="22" t="n">
        <f aca="false">V103*$H$17</f>
        <v>0</v>
      </c>
      <c r="W104" s="22" t="n">
        <f aca="false">W103*$H$17</f>
        <v>0</v>
      </c>
      <c r="X104" s="22" t="n">
        <f aca="false">X103*$H$17</f>
        <v>0</v>
      </c>
      <c r="Y104" s="22" t="n">
        <f aca="false">Y103*$H$17</f>
        <v>0</v>
      </c>
      <c r="Z104" s="22" t="n">
        <f aca="false">Z103*$H$17</f>
        <v>0</v>
      </c>
      <c r="AA104" s="22" t="n">
        <f aca="false">AA103*$H$17</f>
        <v>0</v>
      </c>
      <c r="AB104" s="22" t="n">
        <f aca="false">AB103*$H$17</f>
        <v>0</v>
      </c>
      <c r="AC104" s="22" t="n">
        <f aca="false">AC103*$H$17</f>
        <v>0</v>
      </c>
      <c r="AD104" s="22" t="n">
        <f aca="false">AD103*$H$17</f>
        <v>0</v>
      </c>
      <c r="AE104" s="22" t="n">
        <f aca="false">AE103*$H$17</f>
        <v>0</v>
      </c>
      <c r="AF104" s="22" t="n">
        <f aca="false">AF103*$H$17</f>
        <v>0</v>
      </c>
      <c r="AG104" s="22" t="n">
        <f aca="false">AG103*$H$17</f>
        <v>0</v>
      </c>
      <c r="AH104" s="22" t="n">
        <f aca="false">AH103*$H$17</f>
        <v>0</v>
      </c>
      <c r="AI104" s="22" t="n">
        <f aca="false">AI103*$H$17</f>
        <v>0</v>
      </c>
      <c r="AJ104" s="22" t="n">
        <f aca="false">AJ103*$H$17</f>
        <v>0</v>
      </c>
      <c r="AK104" s="22" t="n">
        <f aca="false">AK103*$H$17</f>
        <v>0</v>
      </c>
      <c r="AL104" s="22" t="n">
        <f aca="false">AL103*$H$17</f>
        <v>0</v>
      </c>
    </row>
    <row r="105" customFormat="false" ht="15" hidden="false" customHeight="false" outlineLevel="0" collapsed="false">
      <c r="A105" s="6" t="s">
        <v>496</v>
      </c>
      <c r="C105" s="22" t="n">
        <f aca="false">C103*$K$17</f>
        <v>0</v>
      </c>
      <c r="D105" s="22" t="n">
        <f aca="false">D103*$K$17</f>
        <v>0</v>
      </c>
      <c r="E105" s="22" t="n">
        <f aca="false">E103*$K$17</f>
        <v>0</v>
      </c>
      <c r="F105" s="22" t="n">
        <f aca="false">F103*$K$17</f>
        <v>0</v>
      </c>
      <c r="G105" s="22" t="n">
        <f aca="false">G103*$K$17</f>
        <v>0</v>
      </c>
      <c r="H105" s="22" t="n">
        <f aca="false">H103*$K$17</f>
        <v>0</v>
      </c>
      <c r="I105" s="22" t="n">
        <f aca="false">I103*$K$17</f>
        <v>0</v>
      </c>
      <c r="J105" s="22" t="n">
        <f aca="false">J103*$K$17</f>
        <v>0</v>
      </c>
      <c r="K105" s="22" t="n">
        <f aca="false">K103*$K$17</f>
        <v>0</v>
      </c>
      <c r="L105" s="22" t="n">
        <f aca="false">L103*$K$17</f>
        <v>0</v>
      </c>
      <c r="M105" s="22" t="n">
        <f aca="false">M103*$K$17</f>
        <v>0</v>
      </c>
      <c r="N105" s="22" t="n">
        <f aca="false">N103*$K$17</f>
        <v>0</v>
      </c>
      <c r="O105" s="22" t="n">
        <f aca="false">O103*$K$17</f>
        <v>0</v>
      </c>
      <c r="P105" s="22" t="n">
        <f aca="false">P103*$K$17</f>
        <v>0</v>
      </c>
      <c r="Q105" s="22" t="n">
        <f aca="false">Q103*$K$17</f>
        <v>0</v>
      </c>
      <c r="R105" s="22" t="n">
        <f aca="false">R103*$K$17</f>
        <v>0</v>
      </c>
      <c r="S105" s="22" t="n">
        <f aca="false">S103*$K$17</f>
        <v>0</v>
      </c>
      <c r="T105" s="22" t="n">
        <f aca="false">T103*$K$17</f>
        <v>0</v>
      </c>
      <c r="U105" s="22" t="n">
        <f aca="false">U103*$K$17</f>
        <v>0</v>
      </c>
      <c r="V105" s="22" t="n">
        <f aca="false">V103*$K$17</f>
        <v>0</v>
      </c>
      <c r="W105" s="22" t="n">
        <f aca="false">W103*$K$17</f>
        <v>0</v>
      </c>
      <c r="X105" s="22" t="n">
        <f aca="false">X103*$K$17</f>
        <v>0</v>
      </c>
      <c r="Y105" s="22" t="n">
        <f aca="false">Y103*$K$17</f>
        <v>0</v>
      </c>
      <c r="Z105" s="22" t="n">
        <f aca="false">Z103*$K$17</f>
        <v>0</v>
      </c>
      <c r="AA105" s="22" t="n">
        <f aca="false">AA103*$K$17</f>
        <v>0</v>
      </c>
      <c r="AB105" s="22" t="n">
        <f aca="false">AB103*$K$17</f>
        <v>0</v>
      </c>
      <c r="AC105" s="22" t="n">
        <f aca="false">AC103*$K$17</f>
        <v>0</v>
      </c>
      <c r="AD105" s="22" t="n">
        <f aca="false">AD103*$K$17</f>
        <v>0</v>
      </c>
      <c r="AE105" s="22" t="n">
        <f aca="false">AE103*$K$17</f>
        <v>0</v>
      </c>
      <c r="AF105" s="22" t="n">
        <f aca="false">AF103*$K$17</f>
        <v>0</v>
      </c>
      <c r="AG105" s="22" t="n">
        <f aca="false">AG103*$K$17</f>
        <v>0</v>
      </c>
      <c r="AH105" s="22" t="n">
        <f aca="false">AH103*$K$17</f>
        <v>0</v>
      </c>
      <c r="AI105" s="22" t="n">
        <f aca="false">AI103*$K$17</f>
        <v>0</v>
      </c>
      <c r="AJ105" s="22" t="n">
        <f aca="false">AJ103*$K$17</f>
        <v>0</v>
      </c>
      <c r="AK105" s="22" t="n">
        <f aca="false">AK103*$K$17</f>
        <v>0</v>
      </c>
      <c r="AL105" s="22" t="n">
        <f aca="false">AL103*$K$17</f>
        <v>0</v>
      </c>
    </row>
    <row r="106" customFormat="false" ht="15" hidden="false" customHeight="false" outlineLevel="0" collapsed="false">
      <c r="A106" s="6" t="s">
        <v>497</v>
      </c>
      <c r="C106" s="14" t="n">
        <f aca="false">C103*$L$17/60*$M$17</f>
        <v>0</v>
      </c>
      <c r="D106" s="14" t="n">
        <f aca="false">D103*$L$17/60*$M$17</f>
        <v>0</v>
      </c>
      <c r="E106" s="14" t="n">
        <f aca="false">E103*$L$17/60*$M$17</f>
        <v>0</v>
      </c>
      <c r="F106" s="14" t="n">
        <f aca="false">F103*$L$17/60*$M$17</f>
        <v>0</v>
      </c>
      <c r="G106" s="14" t="n">
        <f aca="false">G103*$L$17/60*$M$17</f>
        <v>0</v>
      </c>
      <c r="H106" s="14" t="n">
        <f aca="false">H103*$L$17/60*$M$17</f>
        <v>0</v>
      </c>
      <c r="I106" s="14" t="n">
        <f aca="false">I103*$L$17/60*$M$17</f>
        <v>0</v>
      </c>
      <c r="J106" s="14" t="n">
        <f aca="false">J103*$L$17/60*$M$17</f>
        <v>0</v>
      </c>
      <c r="K106" s="14" t="n">
        <f aca="false">K103*$L$17/60*$M$17</f>
        <v>0</v>
      </c>
      <c r="L106" s="14" t="n">
        <f aca="false">L103*$L$17/60*$M$17</f>
        <v>0</v>
      </c>
      <c r="M106" s="14" t="n">
        <f aca="false">M103*$L$17/60*$M$17</f>
        <v>0</v>
      </c>
      <c r="N106" s="14" t="n">
        <f aca="false">N103*$L$17/60*$M$17</f>
        <v>0</v>
      </c>
      <c r="O106" s="14" t="n">
        <f aca="false">O103*$L$17/60*$M$17</f>
        <v>0</v>
      </c>
      <c r="P106" s="14" t="n">
        <f aca="false">P103*$L$17/60*$M$17</f>
        <v>0</v>
      </c>
      <c r="Q106" s="14" t="n">
        <f aca="false">Q103*$L$17/60*$M$17</f>
        <v>0</v>
      </c>
      <c r="R106" s="14" t="n">
        <f aca="false">R103*$L$17/60*$M$17</f>
        <v>0</v>
      </c>
      <c r="S106" s="14" t="n">
        <f aca="false">S103*$L$17/60*$M$17</f>
        <v>0</v>
      </c>
      <c r="T106" s="14" t="n">
        <f aca="false">T103*$L$17/60*$M$17</f>
        <v>0</v>
      </c>
      <c r="U106" s="14" t="n">
        <f aca="false">U103*$L$17/60*$M$17</f>
        <v>0</v>
      </c>
      <c r="V106" s="14" t="n">
        <f aca="false">V103*$L$17/60*$M$17</f>
        <v>0</v>
      </c>
      <c r="W106" s="14" t="n">
        <f aca="false">W103*$L$17/60*$M$17</f>
        <v>0</v>
      </c>
      <c r="X106" s="14" t="n">
        <f aca="false">X103*$L$17/60*$M$17</f>
        <v>0</v>
      </c>
      <c r="Y106" s="14" t="n">
        <f aca="false">Y103*$L$17/60*$M$17</f>
        <v>0</v>
      </c>
      <c r="Z106" s="14" t="n">
        <f aca="false">Z103*$L$17/60*$M$17</f>
        <v>0</v>
      </c>
      <c r="AA106" s="14" t="n">
        <f aca="false">AA103*$L$17/60*$M$17</f>
        <v>0</v>
      </c>
      <c r="AB106" s="14" t="n">
        <f aca="false">AB103*$L$17/60*$M$17</f>
        <v>0</v>
      </c>
      <c r="AC106" s="14" t="n">
        <f aca="false">AC103*$L$17/60*$M$17</f>
        <v>0</v>
      </c>
      <c r="AD106" s="14" t="n">
        <f aca="false">AD103*$L$17/60*$M$17</f>
        <v>0</v>
      </c>
      <c r="AE106" s="14" t="n">
        <f aca="false">AE103*$L$17/60*$M$17</f>
        <v>0</v>
      </c>
      <c r="AF106" s="14" t="n">
        <f aca="false">AF103*$L$17/60*$M$17</f>
        <v>0</v>
      </c>
      <c r="AG106" s="14" t="n">
        <f aca="false">AG103*$L$17/60*$M$17</f>
        <v>0</v>
      </c>
      <c r="AH106" s="14" t="n">
        <f aca="false">AH103*$L$17/60*$M$17</f>
        <v>0</v>
      </c>
      <c r="AI106" s="14" t="n">
        <f aca="false">AI103*$L$17/60*$M$17</f>
        <v>0</v>
      </c>
      <c r="AJ106" s="14" t="n">
        <f aca="false">AJ103*$L$17/60*$M$17</f>
        <v>0</v>
      </c>
      <c r="AK106" s="14" t="n">
        <f aca="false">AK103*$L$17/60*$M$17</f>
        <v>0</v>
      </c>
      <c r="AL106" s="14" t="n">
        <f aca="false">AL103*$L$17/60*$M$17</f>
        <v>0</v>
      </c>
    </row>
    <row r="107" customFormat="false" ht="15" hidden="false" customHeight="false" outlineLevel="0" collapsed="false">
      <c r="A107" s="36" t="s">
        <v>484</v>
      </c>
    </row>
    <row r="108" customFormat="false" ht="15" hidden="false" customHeight="false" outlineLevel="0" collapsed="false">
      <c r="A108" s="6" t="s">
        <v>493</v>
      </c>
      <c r="C108" s="14" t="n">
        <f aca="false">C$27*$N$18</f>
        <v>10.6704</v>
      </c>
      <c r="D108" s="14" t="n">
        <f aca="false">D$27*$N$18</f>
        <v>12.74292</v>
      </c>
      <c r="E108" s="14" t="n">
        <f aca="false">E$27*$N$18</f>
        <v>13.87152</v>
      </c>
      <c r="F108" s="14" t="n">
        <f aca="false">F$27*$N$18</f>
        <v>16.06716</v>
      </c>
      <c r="G108" s="14" t="n">
        <f aca="false">G$27*$N$18</f>
        <v>17.72928</v>
      </c>
      <c r="H108" s="14" t="n">
        <f aca="false">H$27*$N$18</f>
        <v>17.2368</v>
      </c>
      <c r="I108" s="14" t="n">
        <f aca="false">I$27*$N$18</f>
        <v>21.05352</v>
      </c>
      <c r="J108" s="14" t="n">
        <f aca="false">J$27*$N$18</f>
        <v>21.87432</v>
      </c>
      <c r="K108" s="14" t="n">
        <f aca="false">K$27*$N$18</f>
        <v>24.37776</v>
      </c>
      <c r="L108" s="14" t="n">
        <f aca="false">L$27*$N$18</f>
        <v>25.07544</v>
      </c>
      <c r="M108" s="14" t="n">
        <f aca="false">M$27*$N$18</f>
        <v>27.702</v>
      </c>
      <c r="N108" s="14" t="n">
        <f aca="false">N$27*$N$18</f>
        <v>29.36412</v>
      </c>
      <c r="O108" s="14" t="n">
        <f aca="false">O$27*$N$18</f>
        <v>29.87712</v>
      </c>
      <c r="P108" s="14" t="n">
        <f aca="false">P$27*$N$18</f>
        <v>32.68836</v>
      </c>
      <c r="Q108" s="14" t="n">
        <f aca="false">Q$27*$N$18</f>
        <v>33.07824</v>
      </c>
      <c r="R108" s="14" t="n">
        <f aca="false">R$27*$N$18</f>
        <v>36.0126</v>
      </c>
      <c r="S108" s="14" t="n">
        <f aca="false">S$27*$N$18</f>
        <v>37.67472</v>
      </c>
      <c r="T108" s="14" t="n">
        <f aca="false">T$27*$N$18</f>
        <v>36.423</v>
      </c>
      <c r="U108" s="14" t="n">
        <f aca="false">U$27*$N$18</f>
        <v>40.99896</v>
      </c>
      <c r="V108" s="14" t="n">
        <f aca="false">V$27*$N$18</f>
        <v>41.08104</v>
      </c>
      <c r="W108" s="14" t="n">
        <f aca="false">W$27*$N$18</f>
        <v>44.3232</v>
      </c>
      <c r="X108" s="14" t="n">
        <f aca="false">X$27*$N$18</f>
        <v>44.28216</v>
      </c>
      <c r="Y108" s="14" t="n">
        <f aca="false">Y$27*$N$18</f>
        <v>47.64744</v>
      </c>
      <c r="Z108" s="14" t="n">
        <f aca="false">Z$27*$N$18</f>
        <v>49.30956</v>
      </c>
      <c r="AA108" s="14" t="n">
        <f aca="false">AA$27*$N$18</f>
        <v>49.08384</v>
      </c>
      <c r="AB108" s="14" t="n">
        <f aca="false">AB$27*$N$18</f>
        <v>52.6338</v>
      </c>
      <c r="AC108" s="14" t="n">
        <f aca="false">AC$27*$N$18</f>
        <v>52.28496</v>
      </c>
      <c r="AD108" s="14" t="n">
        <f aca="false">AD$27*$N$18</f>
        <v>55.95804</v>
      </c>
      <c r="AE108" s="14" t="n">
        <f aca="false">AE$27*$N$18</f>
        <v>57.62016</v>
      </c>
      <c r="AF108" s="14" t="n">
        <f aca="false">AF$27*$N$18</f>
        <v>52.69536</v>
      </c>
      <c r="AG108" s="14" t="n">
        <f aca="false">AG$27*$N$18</f>
        <v>60.9444</v>
      </c>
      <c r="AH108" s="14" t="n">
        <f aca="false">AH$27*$N$18</f>
        <v>60.28776</v>
      </c>
      <c r="AI108" s="14" t="n">
        <f aca="false">AI$27*$N$18</f>
        <v>64.26864</v>
      </c>
      <c r="AJ108" s="14" t="n">
        <f aca="false">AJ$27*$N$18</f>
        <v>63.48888</v>
      </c>
      <c r="AK108" s="14" t="n">
        <f aca="false">AK$27*$N$18</f>
        <v>67.59288</v>
      </c>
      <c r="AL108" s="14" t="n">
        <f aca="false">AL$27*$N$18</f>
        <v>69.255</v>
      </c>
    </row>
    <row r="109" customFormat="false" ht="15" hidden="false" customHeight="false" outlineLevel="0" collapsed="false">
      <c r="A109" s="6" t="s">
        <v>494</v>
      </c>
      <c r="C109" s="14" t="n">
        <f aca="false">IF($E$18=0,0,C108*60/$E$18)</f>
        <v>32.0112</v>
      </c>
      <c r="D109" s="14" t="n">
        <f aca="false">IF($E$18=0,0,D108*60/$E$18)</f>
        <v>38.22876</v>
      </c>
      <c r="E109" s="14" t="n">
        <f aca="false">IF($E$18=0,0,E108*60/$E$18)</f>
        <v>41.61456</v>
      </c>
      <c r="F109" s="14" t="n">
        <f aca="false">IF($E$18=0,0,F108*60/$E$18)</f>
        <v>48.20148</v>
      </c>
      <c r="G109" s="14" t="n">
        <f aca="false">IF($E$18=0,0,G108*60/$E$18)</f>
        <v>53.18784</v>
      </c>
      <c r="H109" s="14" t="n">
        <f aca="false">IF($E$18=0,0,H108*60/$E$18)</f>
        <v>51.7104</v>
      </c>
      <c r="I109" s="14" t="n">
        <f aca="false">IF($E$18=0,0,I108*60/$E$18)</f>
        <v>63.16056</v>
      </c>
      <c r="J109" s="14" t="n">
        <f aca="false">IF($E$18=0,0,J108*60/$E$18)</f>
        <v>65.62296</v>
      </c>
      <c r="K109" s="14" t="n">
        <f aca="false">IF($E$18=0,0,K108*60/$E$18)</f>
        <v>73.13328</v>
      </c>
      <c r="L109" s="14" t="n">
        <f aca="false">IF($E$18=0,0,L108*60/$E$18)</f>
        <v>75.22632</v>
      </c>
      <c r="M109" s="14" t="n">
        <f aca="false">IF($E$18=0,0,M108*60/$E$18)</f>
        <v>83.106</v>
      </c>
      <c r="N109" s="14" t="n">
        <f aca="false">IF($E$18=0,0,N108*60/$E$18)</f>
        <v>88.09236</v>
      </c>
      <c r="O109" s="14" t="n">
        <f aca="false">IF($E$18=0,0,O108*60/$E$18)</f>
        <v>89.63136</v>
      </c>
      <c r="P109" s="14" t="n">
        <f aca="false">IF($E$18=0,0,P108*60/$E$18)</f>
        <v>98.06508</v>
      </c>
      <c r="Q109" s="14" t="n">
        <f aca="false">IF($E$18=0,0,Q108*60/$E$18)</f>
        <v>99.23472</v>
      </c>
      <c r="R109" s="14" t="n">
        <f aca="false">IF($E$18=0,0,R108*60/$E$18)</f>
        <v>108.0378</v>
      </c>
      <c r="S109" s="14" t="n">
        <f aca="false">IF($E$18=0,0,S108*60/$E$18)</f>
        <v>113.02416</v>
      </c>
      <c r="T109" s="14" t="n">
        <f aca="false">IF($E$18=0,0,T108*60/$E$18)</f>
        <v>109.269</v>
      </c>
      <c r="U109" s="14" t="n">
        <f aca="false">IF($E$18=0,0,U108*60/$E$18)</f>
        <v>122.99688</v>
      </c>
      <c r="V109" s="14" t="n">
        <f aca="false">IF($E$18=0,0,V108*60/$E$18)</f>
        <v>123.24312</v>
      </c>
      <c r="W109" s="14" t="n">
        <f aca="false">IF($E$18=0,0,W108*60/$E$18)</f>
        <v>132.9696</v>
      </c>
      <c r="X109" s="14" t="n">
        <f aca="false">IF($E$18=0,0,X108*60/$E$18)</f>
        <v>132.84648</v>
      </c>
      <c r="Y109" s="14" t="n">
        <f aca="false">IF($E$18=0,0,Y108*60/$E$18)</f>
        <v>142.94232</v>
      </c>
      <c r="Z109" s="14" t="n">
        <f aca="false">IF($E$18=0,0,Z108*60/$E$18)</f>
        <v>147.92868</v>
      </c>
      <c r="AA109" s="14" t="n">
        <f aca="false">IF($E$18=0,0,AA108*60/$E$18)</f>
        <v>147.25152</v>
      </c>
      <c r="AB109" s="14" t="n">
        <f aca="false">IF($E$18=0,0,AB108*60/$E$18)</f>
        <v>157.9014</v>
      </c>
      <c r="AC109" s="14" t="n">
        <f aca="false">IF($E$18=0,0,AC108*60/$E$18)</f>
        <v>156.85488</v>
      </c>
      <c r="AD109" s="14" t="n">
        <f aca="false">IF($E$18=0,0,AD108*60/$E$18)</f>
        <v>167.87412</v>
      </c>
      <c r="AE109" s="14" t="n">
        <f aca="false">IF($E$18=0,0,AE108*60/$E$18)</f>
        <v>172.86048</v>
      </c>
      <c r="AF109" s="14" t="n">
        <f aca="false">IF($E$18=0,0,AF108*60/$E$18)</f>
        <v>158.08608</v>
      </c>
      <c r="AG109" s="14" t="n">
        <f aca="false">IF($E$18=0,0,AG108*60/$E$18)</f>
        <v>182.8332</v>
      </c>
      <c r="AH109" s="14" t="n">
        <f aca="false">IF($E$18=0,0,AH108*60/$E$18)</f>
        <v>180.86328</v>
      </c>
      <c r="AI109" s="14" t="n">
        <f aca="false">IF($E$18=0,0,AI108*60/$E$18)</f>
        <v>192.80592</v>
      </c>
      <c r="AJ109" s="14" t="n">
        <f aca="false">IF($E$18=0,0,AJ108*60/$E$18)</f>
        <v>190.46664</v>
      </c>
      <c r="AK109" s="14" t="n">
        <f aca="false">IF($E$18=0,0,AK108*60/$E$18)</f>
        <v>202.77864</v>
      </c>
      <c r="AL109" s="14" t="n">
        <f aca="false">IF($E$18=0,0,AL108*60/$E$18)</f>
        <v>207.765</v>
      </c>
    </row>
    <row r="110" customFormat="false" ht="15" hidden="false" customHeight="false" outlineLevel="0" collapsed="false">
      <c r="A110" s="6" t="s">
        <v>495</v>
      </c>
      <c r="C110" s="22" t="n">
        <f aca="false">C109*$H$18</f>
        <v>0</v>
      </c>
      <c r="D110" s="22" t="n">
        <f aca="false">D109*$H$18</f>
        <v>0</v>
      </c>
      <c r="E110" s="22" t="n">
        <f aca="false">E109*$H$18</f>
        <v>0</v>
      </c>
      <c r="F110" s="22" t="n">
        <f aca="false">F109*$H$18</f>
        <v>0</v>
      </c>
      <c r="G110" s="22" t="n">
        <f aca="false">G109*$H$18</f>
        <v>0</v>
      </c>
      <c r="H110" s="22" t="n">
        <f aca="false">H109*$H$18</f>
        <v>0</v>
      </c>
      <c r="I110" s="22" t="n">
        <f aca="false">I109*$H$18</f>
        <v>0</v>
      </c>
      <c r="J110" s="22" t="n">
        <f aca="false">J109*$H$18</f>
        <v>0</v>
      </c>
      <c r="K110" s="22" t="n">
        <f aca="false">K109*$H$18</f>
        <v>0</v>
      </c>
      <c r="L110" s="22" t="n">
        <f aca="false">L109*$H$18</f>
        <v>0</v>
      </c>
      <c r="M110" s="22" t="n">
        <f aca="false">M109*$H$18</f>
        <v>0</v>
      </c>
      <c r="N110" s="22" t="n">
        <f aca="false">N109*$H$18</f>
        <v>0</v>
      </c>
      <c r="O110" s="22" t="n">
        <f aca="false">O109*$H$18</f>
        <v>0</v>
      </c>
      <c r="P110" s="22" t="n">
        <f aca="false">P109*$H$18</f>
        <v>0</v>
      </c>
      <c r="Q110" s="22" t="n">
        <f aca="false">Q109*$H$18</f>
        <v>0</v>
      </c>
      <c r="R110" s="22" t="n">
        <f aca="false">R109*$H$18</f>
        <v>0</v>
      </c>
      <c r="S110" s="22" t="n">
        <f aca="false">S109*$H$18</f>
        <v>0</v>
      </c>
      <c r="T110" s="22" t="n">
        <f aca="false">T109*$H$18</f>
        <v>0</v>
      </c>
      <c r="U110" s="22" t="n">
        <f aca="false">U109*$H$18</f>
        <v>0</v>
      </c>
      <c r="V110" s="22" t="n">
        <f aca="false">V109*$H$18</f>
        <v>0</v>
      </c>
      <c r="W110" s="22" t="n">
        <f aca="false">W109*$H$18</f>
        <v>0</v>
      </c>
      <c r="X110" s="22" t="n">
        <f aca="false">X109*$H$18</f>
        <v>0</v>
      </c>
      <c r="Y110" s="22" t="n">
        <f aca="false">Y109*$H$18</f>
        <v>0</v>
      </c>
      <c r="Z110" s="22" t="n">
        <f aca="false">Z109*$H$18</f>
        <v>0</v>
      </c>
      <c r="AA110" s="22" t="n">
        <f aca="false">AA109*$H$18</f>
        <v>0</v>
      </c>
      <c r="AB110" s="22" t="n">
        <f aca="false">AB109*$H$18</f>
        <v>0</v>
      </c>
      <c r="AC110" s="22" t="n">
        <f aca="false">AC109*$H$18</f>
        <v>0</v>
      </c>
      <c r="AD110" s="22" t="n">
        <f aca="false">AD109*$H$18</f>
        <v>0</v>
      </c>
      <c r="AE110" s="22" t="n">
        <f aca="false">AE109*$H$18</f>
        <v>0</v>
      </c>
      <c r="AF110" s="22" t="n">
        <f aca="false">AF109*$H$18</f>
        <v>0</v>
      </c>
      <c r="AG110" s="22" t="n">
        <f aca="false">AG109*$H$18</f>
        <v>0</v>
      </c>
      <c r="AH110" s="22" t="n">
        <f aca="false">AH109*$H$18</f>
        <v>0</v>
      </c>
      <c r="AI110" s="22" t="n">
        <f aca="false">AI109*$H$18</f>
        <v>0</v>
      </c>
      <c r="AJ110" s="22" t="n">
        <f aca="false">AJ109*$H$18</f>
        <v>0</v>
      </c>
      <c r="AK110" s="22" t="n">
        <f aca="false">AK109*$H$18</f>
        <v>0</v>
      </c>
      <c r="AL110" s="22" t="n">
        <f aca="false">AL109*$H$18</f>
        <v>0</v>
      </c>
    </row>
    <row r="111" customFormat="false" ht="15" hidden="false" customHeight="false" outlineLevel="0" collapsed="false">
      <c r="A111" s="6" t="s">
        <v>496</v>
      </c>
      <c r="C111" s="22" t="n">
        <f aca="false">C109*$K$18</f>
        <v>32.0112</v>
      </c>
      <c r="D111" s="22" t="n">
        <f aca="false">D109*$K$18</f>
        <v>38.22876</v>
      </c>
      <c r="E111" s="22" t="n">
        <f aca="false">E109*$K$18</f>
        <v>41.61456</v>
      </c>
      <c r="F111" s="22" t="n">
        <f aca="false">F109*$K$18</f>
        <v>48.20148</v>
      </c>
      <c r="G111" s="22" t="n">
        <f aca="false">G109*$K$18</f>
        <v>53.18784</v>
      </c>
      <c r="H111" s="22" t="n">
        <f aca="false">H109*$K$18</f>
        <v>51.7104</v>
      </c>
      <c r="I111" s="22" t="n">
        <f aca="false">I109*$K$18</f>
        <v>63.16056</v>
      </c>
      <c r="J111" s="22" t="n">
        <f aca="false">J109*$K$18</f>
        <v>65.62296</v>
      </c>
      <c r="K111" s="22" t="n">
        <f aca="false">K109*$K$18</f>
        <v>73.13328</v>
      </c>
      <c r="L111" s="22" t="n">
        <f aca="false">L109*$K$18</f>
        <v>75.22632</v>
      </c>
      <c r="M111" s="22" t="n">
        <f aca="false">M109*$K$18</f>
        <v>83.106</v>
      </c>
      <c r="N111" s="22" t="n">
        <f aca="false">N109*$K$18</f>
        <v>88.09236</v>
      </c>
      <c r="O111" s="22" t="n">
        <f aca="false">O109*$K$18</f>
        <v>89.63136</v>
      </c>
      <c r="P111" s="22" t="n">
        <f aca="false">P109*$K$18</f>
        <v>98.06508</v>
      </c>
      <c r="Q111" s="22" t="n">
        <f aca="false">Q109*$K$18</f>
        <v>99.23472</v>
      </c>
      <c r="R111" s="22" t="n">
        <f aca="false">R109*$K$18</f>
        <v>108.0378</v>
      </c>
      <c r="S111" s="22" t="n">
        <f aca="false">S109*$K$18</f>
        <v>113.02416</v>
      </c>
      <c r="T111" s="22" t="n">
        <f aca="false">T109*$K$18</f>
        <v>109.269</v>
      </c>
      <c r="U111" s="22" t="n">
        <f aca="false">U109*$K$18</f>
        <v>122.99688</v>
      </c>
      <c r="V111" s="22" t="n">
        <f aca="false">V109*$K$18</f>
        <v>123.24312</v>
      </c>
      <c r="W111" s="22" t="n">
        <f aca="false">W109*$K$18</f>
        <v>132.9696</v>
      </c>
      <c r="X111" s="22" t="n">
        <f aca="false">X109*$K$18</f>
        <v>132.84648</v>
      </c>
      <c r="Y111" s="22" t="n">
        <f aca="false">Y109*$K$18</f>
        <v>142.94232</v>
      </c>
      <c r="Z111" s="22" t="n">
        <f aca="false">Z109*$K$18</f>
        <v>147.92868</v>
      </c>
      <c r="AA111" s="22" t="n">
        <f aca="false">AA109*$K$18</f>
        <v>147.25152</v>
      </c>
      <c r="AB111" s="22" t="n">
        <f aca="false">AB109*$K$18</f>
        <v>157.9014</v>
      </c>
      <c r="AC111" s="22" t="n">
        <f aca="false">AC109*$K$18</f>
        <v>156.85488</v>
      </c>
      <c r="AD111" s="22" t="n">
        <f aca="false">AD109*$K$18</f>
        <v>167.87412</v>
      </c>
      <c r="AE111" s="22" t="n">
        <f aca="false">AE109*$K$18</f>
        <v>172.86048</v>
      </c>
      <c r="AF111" s="22" t="n">
        <f aca="false">AF109*$K$18</f>
        <v>158.08608</v>
      </c>
      <c r="AG111" s="22" t="n">
        <f aca="false">AG109*$K$18</f>
        <v>182.8332</v>
      </c>
      <c r="AH111" s="22" t="n">
        <f aca="false">AH109*$K$18</f>
        <v>180.86328</v>
      </c>
      <c r="AI111" s="22" t="n">
        <f aca="false">AI109*$K$18</f>
        <v>192.80592</v>
      </c>
      <c r="AJ111" s="22" t="n">
        <f aca="false">AJ109*$K$18</f>
        <v>190.46664</v>
      </c>
      <c r="AK111" s="22" t="n">
        <f aca="false">AK109*$K$18</f>
        <v>202.77864</v>
      </c>
      <c r="AL111" s="22" t="n">
        <f aca="false">AL109*$K$18</f>
        <v>207.765</v>
      </c>
    </row>
    <row r="112" customFormat="false" ht="15" hidden="false" customHeight="false" outlineLevel="0" collapsed="false">
      <c r="A112" s="6" t="s">
        <v>497</v>
      </c>
      <c r="C112" s="14" t="n">
        <f aca="false">C109*$L$18/60*$M$18</f>
        <v>0</v>
      </c>
      <c r="D112" s="14" t="n">
        <f aca="false">D109*$L$18/60*$M$18</f>
        <v>0</v>
      </c>
      <c r="E112" s="14" t="n">
        <f aca="false">E109*$L$18/60*$M$18</f>
        <v>0</v>
      </c>
      <c r="F112" s="14" t="n">
        <f aca="false">F109*$L$18/60*$M$18</f>
        <v>0</v>
      </c>
      <c r="G112" s="14" t="n">
        <f aca="false">G109*$L$18/60*$M$18</f>
        <v>0</v>
      </c>
      <c r="H112" s="14" t="n">
        <f aca="false">H109*$L$18/60*$M$18</f>
        <v>0</v>
      </c>
      <c r="I112" s="14" t="n">
        <f aca="false">I109*$L$18/60*$M$18</f>
        <v>0</v>
      </c>
      <c r="J112" s="14" t="n">
        <f aca="false">J109*$L$18/60*$M$18</f>
        <v>0</v>
      </c>
      <c r="K112" s="14" t="n">
        <f aca="false">K109*$L$18/60*$M$18</f>
        <v>0</v>
      </c>
      <c r="L112" s="14" t="n">
        <f aca="false">L109*$L$18/60*$M$18</f>
        <v>0</v>
      </c>
      <c r="M112" s="14" t="n">
        <f aca="false">M109*$L$18/60*$M$18</f>
        <v>0</v>
      </c>
      <c r="N112" s="14" t="n">
        <f aca="false">N109*$L$18/60*$M$18</f>
        <v>0</v>
      </c>
      <c r="O112" s="14" t="n">
        <f aca="false">O109*$L$18/60*$M$18</f>
        <v>0</v>
      </c>
      <c r="P112" s="14" t="n">
        <f aca="false">P109*$L$18/60*$M$18</f>
        <v>0</v>
      </c>
      <c r="Q112" s="14" t="n">
        <f aca="false">Q109*$L$18/60*$M$18</f>
        <v>0</v>
      </c>
      <c r="R112" s="14" t="n">
        <f aca="false">R109*$L$18/60*$M$18</f>
        <v>0</v>
      </c>
      <c r="S112" s="14" t="n">
        <f aca="false">S109*$L$18/60*$M$18</f>
        <v>0</v>
      </c>
      <c r="T112" s="14" t="n">
        <f aca="false">T109*$L$18/60*$M$18</f>
        <v>0</v>
      </c>
      <c r="U112" s="14" t="n">
        <f aca="false">U109*$L$18/60*$M$18</f>
        <v>0</v>
      </c>
      <c r="V112" s="14" t="n">
        <f aca="false">V109*$L$18/60*$M$18</f>
        <v>0</v>
      </c>
      <c r="W112" s="14" t="n">
        <f aca="false">W109*$L$18/60*$M$18</f>
        <v>0</v>
      </c>
      <c r="X112" s="14" t="n">
        <f aca="false">X109*$L$18/60*$M$18</f>
        <v>0</v>
      </c>
      <c r="Y112" s="14" t="n">
        <f aca="false">Y109*$L$18/60*$M$18</f>
        <v>0</v>
      </c>
      <c r="Z112" s="14" t="n">
        <f aca="false">Z109*$L$18/60*$M$18</f>
        <v>0</v>
      </c>
      <c r="AA112" s="14" t="n">
        <f aca="false">AA109*$L$18/60*$M$18</f>
        <v>0</v>
      </c>
      <c r="AB112" s="14" t="n">
        <f aca="false">AB109*$L$18/60*$M$18</f>
        <v>0</v>
      </c>
      <c r="AC112" s="14" t="n">
        <f aca="false">AC109*$L$18/60*$M$18</f>
        <v>0</v>
      </c>
      <c r="AD112" s="14" t="n">
        <f aca="false">AD109*$L$18/60*$M$18</f>
        <v>0</v>
      </c>
      <c r="AE112" s="14" t="n">
        <f aca="false">AE109*$L$18/60*$M$18</f>
        <v>0</v>
      </c>
      <c r="AF112" s="14" t="n">
        <f aca="false">AF109*$L$18/60*$M$18</f>
        <v>0</v>
      </c>
      <c r="AG112" s="14" t="n">
        <f aca="false">AG109*$L$18/60*$M$18</f>
        <v>0</v>
      </c>
      <c r="AH112" s="14" t="n">
        <f aca="false">AH109*$L$18/60*$M$18</f>
        <v>0</v>
      </c>
      <c r="AI112" s="14" t="n">
        <f aca="false">AI109*$L$18/60*$M$18</f>
        <v>0</v>
      </c>
      <c r="AJ112" s="14" t="n">
        <f aca="false">AJ109*$L$18/60*$M$18</f>
        <v>0</v>
      </c>
      <c r="AK112" s="14" t="n">
        <f aca="false">AK109*$L$18/60*$M$18</f>
        <v>0</v>
      </c>
      <c r="AL112" s="14" t="n">
        <f aca="false">AL109*$L$18/60*$M$18</f>
        <v>0</v>
      </c>
    </row>
    <row r="114" customFormat="false" ht="15" hidden="false" customHeight="false" outlineLevel="0" collapsed="false">
      <c r="A114" s="20" t="s">
        <v>498</v>
      </c>
      <c r="C114" s="23" t="n">
        <f aca="false">C32+C38+C44+C50+C56+C62+C68+C74+C80+C86+C92+C98+C104+C110</f>
        <v>13316.9388384278</v>
      </c>
      <c r="D114" s="23" t="n">
        <f aca="false">D32+D38+D44+D50+D56+D62+D68+D74+D80+D86+D92+D98+D104+D110</f>
        <v>15903.4981128147</v>
      </c>
      <c r="E114" s="23" t="n">
        <f aca="false">E32+E38+E44+E50+E56+E62+E68+E74+E80+E86+E92+E98+E104+E110</f>
        <v>17312.0204899561</v>
      </c>
      <c r="F114" s="23" t="n">
        <f aca="false">F32+F38+F44+F50+F56+F62+F68+F74+F80+F86+F92+F98+F104+F110</f>
        <v>20052.2367509403</v>
      </c>
      <c r="G114" s="23" t="n">
        <f aca="false">G32+G38+G44+G50+G56+G62+G68+G74+G80+G86+G92+G98+G104+G110</f>
        <v>22126.6060700031</v>
      </c>
      <c r="H114" s="23" t="n">
        <f aca="false">H32+H38+H44+H50+H56+H62+H68+H74+H80+H86+H92+H98+H104+H110</f>
        <v>21511.9781236142</v>
      </c>
      <c r="I114" s="23" t="n">
        <f aca="false">I32+I38+I44+I50+I56+I62+I68+I74+I80+I86+I92+I98+I104+I110</f>
        <v>26275.3447081287</v>
      </c>
      <c r="J114" s="23" t="n">
        <f aca="false">J32+J38+J44+J50+J56+J62+J68+J74+J80+J86+J92+J98+J104+J110</f>
        <v>27299.724618777</v>
      </c>
      <c r="K114" s="23" t="n">
        <f aca="false">K32+K38+K44+K50+K56+K62+K68+K74+K80+K86+K92+K98+K104+K110</f>
        <v>30424.0833462543</v>
      </c>
      <c r="L114" s="23" t="n">
        <f aca="false">L32+L38+L44+L50+L56+L62+L68+L74+L80+L86+L92+L98+L104+L110</f>
        <v>31294.8062703053</v>
      </c>
      <c r="M114" s="23" t="n">
        <f aca="false">M32+M38+M44+M50+M56+M62+M68+M74+M80+M86+M92+M98+M104+M110</f>
        <v>34572.8219843799</v>
      </c>
      <c r="N114" s="23" t="n">
        <f aca="false">N32+N38+N44+N50+N56+N62+N68+N74+N80+N86+N92+N98+N104+N110</f>
        <v>36647.1913034427</v>
      </c>
      <c r="O114" s="23" t="n">
        <f aca="false">O32+O38+O44+O50+O56+O62+O68+O74+O80+O86+O92+O98+O104+O110</f>
        <v>37287.4287475979</v>
      </c>
      <c r="P114" s="23" t="n">
        <f aca="false">P32+P38+P44+P50+P56+P62+P68+P74+P80+P86+P92+P98+P104+P110</f>
        <v>40795.9299415683</v>
      </c>
      <c r="Q114" s="23" t="n">
        <f aca="false">Q32+Q38+Q44+Q50+Q56+Q62+Q68+Q74+Q80+Q86+Q92+Q98+Q104+Q110</f>
        <v>41282.5103991262</v>
      </c>
      <c r="R114" s="23" t="n">
        <f aca="false">R32+R38+R44+R50+R56+R62+R68+R74+R80+R86+R92+R98+R104+R110</f>
        <v>44944.6685796939</v>
      </c>
      <c r="S114" s="23" t="n">
        <f aca="false">S32+S38+S44+S50+S56+S62+S68+S74+S80+S86+S92+S98+S104+S110</f>
        <v>47019.0378987566</v>
      </c>
      <c r="T114" s="23" t="n">
        <f aca="false">T32+T38+T44+T50+T56+T62+T68+T74+T80+T86+T92+T98+T104+T110</f>
        <v>45456.858535018</v>
      </c>
      <c r="U114" s="23" t="n">
        <f aca="false">U32+U38+U44+U50+U56+U62+U68+U74+U80+U86+U92+U98+U104+U110</f>
        <v>51167.7765368822</v>
      </c>
      <c r="V114" s="23" t="n">
        <f aca="false">V32+V38+V44+V50+V56+V62+V68+V74+V80+V86+V92+V98+V104+V110</f>
        <v>51270.214527947</v>
      </c>
      <c r="W114" s="23" t="n">
        <f aca="false">W32+W38+W44+W50+W56+W62+W68+W74+W80+W86+W92+W98+W104+W110</f>
        <v>55316.5151750078</v>
      </c>
      <c r="X114" s="23" t="n">
        <f aca="false">X32+X38+X44+X50+X56+X62+X68+X74+X80+X86+X92+X98+X104+X110</f>
        <v>55265.2961794754</v>
      </c>
      <c r="Y114" s="23" t="n">
        <f aca="false">Y32+Y38+Y44+Y50+Y56+Y62+Y68+Y74+Y80+Y86+Y92+Y98+Y104+Y110</f>
        <v>59465.2538131334</v>
      </c>
      <c r="Z114" s="23" t="n">
        <f aca="false">Z32+Z38+Z44+Z50+Z56+Z62+Z68+Z74+Z80+Z86+Z92+Z98+Z104+Z110</f>
        <v>61539.6231321962</v>
      </c>
      <c r="AA114" s="23" t="n">
        <f aca="false">AA32+AA38+AA44+AA50+AA56+AA62+AA68+AA74+AA80+AA86+AA92+AA98+AA104+AA110</f>
        <v>61257.9186567679</v>
      </c>
      <c r="AB114" s="23" t="n">
        <f aca="false">AB32+AB38+AB44+AB50+AB56+AB62+AB68+AB74+AB80+AB86+AB92+AB98+AB104+AB110</f>
        <v>65688.3617703218</v>
      </c>
      <c r="AC114" s="23" t="n">
        <f aca="false">AC32+AC38+AC44+AC50+AC56+AC62+AC68+AC74+AC80+AC86+AC92+AC98+AC104+AC110</f>
        <v>65253.0003082963</v>
      </c>
      <c r="AD114" s="23" t="n">
        <f aca="false">AD32+AD38+AD44+AD50+AD56+AD62+AD68+AD74+AD80+AD86+AD92+AD98+AD104+AD110</f>
        <v>69837.1004084474</v>
      </c>
      <c r="AE114" s="23" t="n">
        <f aca="false">AE32+AE38+AE44+AE50+AE56+AE62+AE68+AE74+AE80+AE86+AE92+AE98+AE104+AE110</f>
        <v>71911.4697275102</v>
      </c>
      <c r="AF114" s="23" t="n">
        <f aca="false">AF32+AF38+AF44+AF50+AF56+AF62+AF68+AF74+AF80+AF86+AF92+AF98+AF104+AF110</f>
        <v>65765.1902636204</v>
      </c>
      <c r="AG114" s="23" t="n">
        <f aca="false">AG32+AG38+AG44+AG50+AG56+AG62+AG68+AG74+AG80+AG86+AG92+AG98+AG104+AG110</f>
        <v>76060.2083656357</v>
      </c>
      <c r="AH114" s="23" t="n">
        <f aca="false">AH32+AH38+AH44+AH50+AH56+AH62+AH68+AH74+AH80+AH86+AH92+AH98+AH104+AH110</f>
        <v>75240.7044371171</v>
      </c>
      <c r="AI114" s="23" t="n">
        <f aca="false">AI32+AI38+AI44+AI50+AI56+AI62+AI68+AI74+AI80+AI86+AI92+AI98+AI104+AI110</f>
        <v>80208.9470037613</v>
      </c>
      <c r="AJ114" s="23" t="n">
        <f aca="false">AJ32+AJ38+AJ44+AJ50+AJ56+AJ62+AJ68+AJ74+AJ80+AJ86+AJ92+AJ98+AJ104+AJ110</f>
        <v>79235.7860886454</v>
      </c>
      <c r="AK114" s="23" t="n">
        <f aca="false">AK32+AK38+AK44+AK50+AK56+AK62+AK68+AK74+AK80+AK86+AK92+AK98+AK104+AK110</f>
        <v>84357.6856418869</v>
      </c>
      <c r="AL114" s="23" t="n">
        <f aca="false">AL32+AL38+AL44+AL50+AL56+AL62+AL68+AL74+AL80+AL86+AL92+AL98+AL104+AL110</f>
        <v>86432.0549609497</v>
      </c>
    </row>
    <row r="115" customFormat="false" ht="15" hidden="false" customHeight="false" outlineLevel="0" collapsed="false">
      <c r="A115" s="20" t="s">
        <v>499</v>
      </c>
      <c r="C115" s="23" t="n">
        <f aca="false">C33+C39+C45+C51+C57+C63+C69+C75+C81+C87+C93+C99+C105+C111</f>
        <v>995.21685980323</v>
      </c>
      <c r="D115" s="23" t="n">
        <f aca="false">D33+D39+D45+D51+D57+D63+D69+D75+D81+D87+D93+D99+D105+D111</f>
        <v>1188.51859603424</v>
      </c>
      <c r="E115" s="23" t="n">
        <f aca="false">E33+E39+E45+E51+E57+E63+E69+E75+E81+E87+E93+E99+E105+E111</f>
        <v>1293.7819177442</v>
      </c>
      <c r="F115" s="23" t="n">
        <f aca="false">F33+F39+F45+F51+F57+F63+F69+F75+F81+F87+F93+F99+F105+F111</f>
        <v>1498.56692543448</v>
      </c>
      <c r="G115" s="23" t="n">
        <f aca="false">G33+G39+G45+G51+G57+G63+G69+G75+G81+G87+G93+G99+G105+G111</f>
        <v>1653.5910901346</v>
      </c>
      <c r="H115" s="23" t="n">
        <f aca="false">H33+H39+H45+H51+H57+H63+H69+H75+H81+H87+H93+H99+H105+H111</f>
        <v>1607.65800429753</v>
      </c>
      <c r="I115" s="23" t="n">
        <f aca="false">I33+I39+I45+I51+I57+I63+I69+I75+I81+I87+I93+I99+I105+I111</f>
        <v>1963.63941953483</v>
      </c>
      <c r="J115" s="23" t="n">
        <f aca="false">J33+J39+J45+J51+J57+J63+J69+J75+J81+J87+J93+J99+J105+J111</f>
        <v>2040.19456259662</v>
      </c>
      <c r="K115" s="23" t="n">
        <f aca="false">K33+K39+K45+K51+K57+K63+K69+K75+K81+K87+K93+K99+K105+K111</f>
        <v>2273.68774893507</v>
      </c>
      <c r="L115" s="23" t="n">
        <f aca="false">L33+L39+L45+L51+L57+L63+L69+L75+L81+L87+L93+L99+L105+L111</f>
        <v>2338.75962053759</v>
      </c>
      <c r="M115" s="23" t="n">
        <f aca="false">M33+M39+M45+M51+M57+M63+M69+M75+M81+M87+M93+M99+M105+M111</f>
        <v>2583.73607833531</v>
      </c>
      <c r="N115" s="23" t="n">
        <f aca="false">N33+N39+N45+N51+N57+N63+N69+N75+N81+N87+N93+N99+N105+N111</f>
        <v>2738.76024303543</v>
      </c>
      <c r="O115" s="23" t="n">
        <f aca="false">O33+O39+O45+O51+O57+O63+O69+O75+O81+O87+O93+O99+O105+O111</f>
        <v>2786.60720744904</v>
      </c>
      <c r="P115" s="23" t="n">
        <f aca="false">P33+P39+P45+P51+P57+P63+P69+P75+P81+P87+P93+P99+P105+P111</f>
        <v>3048.80857243566</v>
      </c>
      <c r="Q115" s="23" t="n">
        <f aca="false">Q33+Q39+Q45+Q51+Q57+Q63+Q69+Q75+Q81+Q87+Q93+Q99+Q105+Q111</f>
        <v>3085.17226539001</v>
      </c>
      <c r="R115" s="23" t="n">
        <f aca="false">R33+R39+R45+R51+R57+R63+R69+R75+R81+R87+R93+R99+R105+R111</f>
        <v>3358.8569018359</v>
      </c>
      <c r="S115" s="23" t="n">
        <f aca="false">S33+S39+S45+S51+S57+S63+S69+S75+S81+S87+S93+S99+S105+S111</f>
        <v>3513.88106653602</v>
      </c>
      <c r="T115" s="23" t="n">
        <f aca="false">T33+T39+T45+T51+T57+T63+T69+T75+T81+T87+T93+T99+T105+T111</f>
        <v>3397.13447336679</v>
      </c>
      <c r="U115" s="23" t="n">
        <f aca="false">U33+U39+U45+U51+U57+U63+U69+U75+U81+U87+U93+U99+U105+U111</f>
        <v>3823.92939593626</v>
      </c>
      <c r="V115" s="23" t="n">
        <f aca="false">V33+V39+V45+V51+V57+V63+V69+V75+V81+V87+V93+V99+V105+V111</f>
        <v>3831.58491024244</v>
      </c>
      <c r="W115" s="23" t="n">
        <f aca="false">W33+W39+W45+W51+W57+W63+W69+W75+W81+W87+W93+W99+W105+W111</f>
        <v>4133.9777253365</v>
      </c>
      <c r="X115" s="23" t="n">
        <f aca="false">X33+X39+X45+X51+X57+X63+X69+X75+X81+X87+X93+X99+X105+X111</f>
        <v>4130.14996818341</v>
      </c>
      <c r="Y115" s="23" t="n">
        <f aca="false">Y33+Y39+Y45+Y51+Y57+Y63+Y69+Y75+Y81+Y87+Y93+Y99+Y105+Y111</f>
        <v>4444.02605473673</v>
      </c>
      <c r="Z115" s="23" t="n">
        <f aca="false">Z33+Z39+Z45+Z51+Z57+Z63+Z69+Z75+Z81+Z87+Z93+Z99+Z105+Z111</f>
        <v>4599.05021943685</v>
      </c>
      <c r="AA115" s="23" t="n">
        <f aca="false">AA33+AA39+AA45+AA51+AA57+AA63+AA69+AA75+AA81+AA87+AA93+AA99+AA105+AA111</f>
        <v>4577.99755509486</v>
      </c>
      <c r="AB115" s="23" t="n">
        <f aca="false">AB33+AB39+AB45+AB51+AB57+AB63+AB69+AB75+AB81+AB87+AB93+AB99+AB105+AB111</f>
        <v>4909.09854883709</v>
      </c>
      <c r="AC115" s="23" t="n">
        <f aca="false">AC33+AC39+AC45+AC51+AC57+AC63+AC69+AC75+AC81+AC87+AC93+AC99+AC105+AC111</f>
        <v>4876.56261303583</v>
      </c>
      <c r="AD115" s="23" t="n">
        <f aca="false">AD33+AD39+AD45+AD51+AD57+AD63+AD69+AD75+AD81+AD87+AD93+AD99+AD105+AD111</f>
        <v>5219.14687823733</v>
      </c>
      <c r="AE115" s="23" t="n">
        <f aca="false">AE33+AE39+AE45+AE51+AE57+AE63+AE69+AE75+AE81+AE87+AE93+AE99+AE105+AE111</f>
        <v>5374.17104293744</v>
      </c>
      <c r="AF115" s="23" t="n">
        <f aca="false">AF33+AF39+AF45+AF51+AF57+AF63+AF69+AF75+AF81+AF87+AF93+AF99+AF105+AF111</f>
        <v>4914.84018456672</v>
      </c>
      <c r="AG115" s="23" t="n">
        <f aca="false">AG33+AG39+AG45+AG51+AG57+AG63+AG69+AG75+AG81+AG87+AG93+AG99+AG105+AG111</f>
        <v>5684.21937233768</v>
      </c>
      <c r="AH115" s="23" t="n">
        <f aca="false">AH33+AH39+AH45+AH51+AH57+AH63+AH69+AH75+AH81+AH87+AH93+AH99+AH105+AH111</f>
        <v>5622.97525788825</v>
      </c>
      <c r="AI115" s="23" t="n">
        <f aca="false">AI33+AI39+AI45+AI51+AI57+AI63+AI69+AI75+AI81+AI87+AI93+AI99+AI105+AI111</f>
        <v>5994.26770173792</v>
      </c>
      <c r="AJ115" s="23" t="n">
        <f aca="false">AJ33+AJ39+AJ45+AJ51+AJ57+AJ63+AJ69+AJ75+AJ81+AJ87+AJ93+AJ99+AJ105+AJ111</f>
        <v>5921.54031582922</v>
      </c>
      <c r="AK115" s="23" t="n">
        <f aca="false">AK33+AK39+AK45+AK51+AK57+AK63+AK69+AK75+AK81+AK87+AK93+AK99+AK105+AK111</f>
        <v>6304.31603113815</v>
      </c>
      <c r="AL115" s="23" t="n">
        <f aca="false">AL33+AL39+AL45+AL51+AL57+AL63+AL69+AL75+AL81+AL87+AL93+AL99+AL105+AL111</f>
        <v>6459.34019583827</v>
      </c>
    </row>
    <row r="116" customFormat="false" ht="15" hidden="false" customHeight="false" outlineLevel="0" collapsed="false">
      <c r="A116" s="20" t="s">
        <v>500</v>
      </c>
      <c r="C116" s="37" t="n">
        <f aca="false">C34+C40+C46+C52+C58+C64+C70+C76+C82+C88+C94+C100+C106+C112</f>
        <v>52.538382</v>
      </c>
      <c r="D116" s="37" t="n">
        <f aca="false">D34+D40+D46+D52+D58+D64+D70+D76+D82+D88+D94+D100+D106+D112</f>
        <v>62.74295235</v>
      </c>
      <c r="E116" s="37" t="n">
        <f aca="false">E34+E40+E46+E52+E58+E64+E70+E76+E82+E88+E94+E100+E106+E112</f>
        <v>68.2998966</v>
      </c>
      <c r="F116" s="37" t="n">
        <f aca="false">F34+F40+F46+F52+F58+F64+F70+F76+F82+F88+F94+F100+F106+F112</f>
        <v>79.11067905</v>
      </c>
      <c r="G116" s="37" t="n">
        <f aca="false">G34+G40+G46+G52+G58+G64+G70+G76+G82+G88+G94+G100+G106+G112</f>
        <v>87.2945424</v>
      </c>
      <c r="H116" s="37" t="n">
        <f aca="false">H34+H40+H46+H52+H58+H64+H70+H76+H82+H88+H94+H100+H106+H112</f>
        <v>84.869694</v>
      </c>
      <c r="I116" s="37" t="n">
        <f aca="false">I34+I40+I46+I52+I58+I64+I70+I76+I82+I88+I94+I100+I106+I112</f>
        <v>103.6622691</v>
      </c>
      <c r="J116" s="37" t="n">
        <f aca="false">J34+J40+J46+J52+J58+J64+J70+J76+J82+J88+J94+J100+J106+J112</f>
        <v>107.7036831</v>
      </c>
      <c r="K116" s="37" t="n">
        <f aca="false">K34+K40+K46+K52+K58+K64+K70+K76+K82+K88+K94+K100+K106+K112</f>
        <v>120.0299958</v>
      </c>
      <c r="L116" s="37" t="n">
        <f aca="false">L34+L40+L46+L52+L58+L64+L70+L76+L82+L88+L94+L100+L106+L112</f>
        <v>123.4651977</v>
      </c>
      <c r="M116" s="37" t="n">
        <f aca="false">M34+M40+M46+M52+M58+M64+M70+M76+M82+M88+M94+M100+M106+M112</f>
        <v>136.3977225</v>
      </c>
      <c r="N116" s="37" t="n">
        <f aca="false">N34+N40+N46+N52+N58+N64+N70+N76+N82+N88+N94+N100+N106+N112</f>
        <v>144.58158585</v>
      </c>
      <c r="O116" s="37" t="n">
        <f aca="false">O34+O40+O46+O52+O58+O64+O70+O76+O82+O88+O94+O100+O106+O112</f>
        <v>147.1074696</v>
      </c>
      <c r="P116" s="37" t="n">
        <f aca="false">P34+P40+P46+P52+P58+P64+P70+P76+P82+P88+P94+P100+P106+P112</f>
        <v>160.94931255</v>
      </c>
      <c r="Q116" s="37" t="n">
        <f aca="false">Q34+Q40+Q46+Q52+Q58+Q64+Q70+Q76+Q82+Q88+Q94+Q100+Q106+Q112</f>
        <v>162.8689842</v>
      </c>
      <c r="R116" s="37" t="n">
        <f aca="false">R34+R40+R46+R52+R58+R64+R70+R76+R82+R88+R94+R100+R106+R112</f>
        <v>177.31703925</v>
      </c>
      <c r="S116" s="37" t="n">
        <f aca="false">S34+S40+S46+S52+S58+S64+S70+S76+S82+S88+S94+S100+S106+S112</f>
        <v>185.5009026</v>
      </c>
      <c r="T116" s="37" t="n">
        <f aca="false">T34+T40+T46+T52+T58+T64+T70+T76+T82+T88+T94+T100+T106+T112</f>
        <v>179.33774625</v>
      </c>
      <c r="U116" s="37" t="n">
        <f aca="false">U34+U40+U46+U52+U58+U64+U70+U76+U82+U88+U94+U100+U106+U112</f>
        <v>201.8686293</v>
      </c>
      <c r="V116" s="37" t="n">
        <f aca="false">V34+V40+V46+V52+V58+V64+V70+V76+V82+V88+V94+V100+V106+V112</f>
        <v>202.2727707</v>
      </c>
      <c r="W116" s="37" t="n">
        <f aca="false">W34+W40+W46+W52+W58+W64+W70+W76+W82+W88+W94+W100+W106+W112</f>
        <v>218.236356</v>
      </c>
      <c r="X116" s="37" t="n">
        <f aca="false">X34+X40+X46+X52+X58+X64+X70+X76+X82+X88+X94+X100+X106+X112</f>
        <v>218.0342853</v>
      </c>
      <c r="Y116" s="37" t="n">
        <f aca="false">Y34+Y40+Y46+Y52+Y58+Y64+Y70+Y76+Y82+Y88+Y94+Y100+Y106+Y112</f>
        <v>234.6040827</v>
      </c>
      <c r="Z116" s="37" t="n">
        <f aca="false">Z34+Z40+Z46+Z52+Z58+Z64+Z70+Z76+Z82+Z88+Z94+Z100+Z106+Z112</f>
        <v>242.78794605</v>
      </c>
      <c r="AA116" s="37" t="n">
        <f aca="false">AA34+AA40+AA46+AA52+AA58+AA64+AA70+AA76+AA82+AA88+AA94+AA100+AA106+AA112</f>
        <v>241.6765572</v>
      </c>
      <c r="AB116" s="37" t="n">
        <f aca="false">AB34+AB40+AB46+AB52+AB58+AB64+AB70+AB76+AB82+AB88+AB94+AB100+AB106+AB112</f>
        <v>259.15567275</v>
      </c>
      <c r="AC116" s="37" t="n">
        <f aca="false">AC34+AC40+AC46+AC52+AC58+AC64+AC70+AC76+AC82+AC88+AC94+AC100+AC106+AC112</f>
        <v>257.4380718</v>
      </c>
      <c r="AD116" s="37" t="n">
        <f aca="false">AD34+AD40+AD46+AD52+AD58+AD64+AD70+AD76+AD82+AD88+AD94+AD100+AD106+AD112</f>
        <v>275.52339945</v>
      </c>
      <c r="AE116" s="37" t="n">
        <f aca="false">AE34+AE40+AE46+AE52+AE58+AE64+AE70+AE76+AE82+AE88+AE94+AE100+AE106+AE112</f>
        <v>283.7072628</v>
      </c>
      <c r="AF116" s="37" t="n">
        <f aca="false">AF34+AF40+AF46+AF52+AF58+AF64+AF70+AF76+AF82+AF88+AF94+AF100+AF106+AF112</f>
        <v>259.4587788</v>
      </c>
      <c r="AG116" s="37" t="n">
        <f aca="false">AG34+AG40+AG46+AG52+AG58+AG64+AG70+AG76+AG82+AG88+AG94+AG100+AG106+AG112</f>
        <v>300.0749895</v>
      </c>
      <c r="AH116" s="37" t="n">
        <f aca="false">AH34+AH40+AH46+AH52+AH58+AH64+AH70+AH76+AH82+AH88+AH94+AH100+AH106+AH112</f>
        <v>296.8418583</v>
      </c>
      <c r="AI116" s="37" t="n">
        <f aca="false">AI34+AI40+AI46+AI52+AI58+AI64+AI70+AI76+AI82+AI88+AI94+AI100+AI106+AI112</f>
        <v>316.4427162</v>
      </c>
      <c r="AJ116" s="37" t="n">
        <f aca="false">AJ34+AJ40+AJ46+AJ52+AJ58+AJ64+AJ70+AJ76+AJ82+AJ88+AJ94+AJ100+AJ106+AJ112</f>
        <v>312.6033729</v>
      </c>
      <c r="AK116" s="37" t="n">
        <f aca="false">AK34+AK40+AK46+AK52+AK58+AK64+AK70+AK76+AK82+AK88+AK94+AK100+AK106+AK112</f>
        <v>332.8104429</v>
      </c>
      <c r="AL116" s="37" t="n">
        <f aca="false">AL34+AL40+AL46+AL52+AL58+AL64+AL70+AL76+AL82+AL88+AL94+AL100+AL106+AL112</f>
        <v>340.99430625</v>
      </c>
    </row>
    <row r="117" customFormat="false" ht="15" hidden="false" customHeight="false" outlineLevel="0" collapsed="false">
      <c r="A117" s="20" t="s">
        <v>501</v>
      </c>
      <c r="C117" s="37" t="n">
        <f aca="false">C31+C37+C43+C49+C55+C61+C67+C73+C79+C85+C91+C97+C103+C109</f>
        <v>159.22375286014</v>
      </c>
      <c r="D117" s="37" t="n">
        <f aca="false">D31+D37+D43+D49+D55+D61+D67+D73+D79+D85+D91+D97+D103+D109</f>
        <v>190.149904857975</v>
      </c>
      <c r="E117" s="37" t="n">
        <f aca="false">E31+E37+E43+E49+E55+E61+E67+E73+E79+E85+E91+E97+E103+E109</f>
        <v>206.990878718182</v>
      </c>
      <c r="F117" s="37" t="n">
        <f aca="false">F31+F37+F43+F49+F55+F61+F67+F73+F79+F85+F91+F97+F103+F109</f>
        <v>239.754227864403</v>
      </c>
      <c r="G117" s="37" t="n">
        <f aca="false">G31+G37+G43+G49+G55+G61+G67+G73+G79+G85+G91+G97+G103+G109</f>
        <v>264.556389367617</v>
      </c>
      <c r="H117" s="37" t="n">
        <f aca="false">H31+H37+H43+H49+H55+H61+H67+H73+H79+H85+H91+H97+H103+H109</f>
        <v>257.207600774072</v>
      </c>
      <c r="I117" s="37" t="n">
        <f aca="false">I31+I37+I43+I49+I55+I61+I67+I73+I79+I85+I91+I97+I103+I109</f>
        <v>314.160712374045</v>
      </c>
      <c r="J117" s="37" t="n">
        <f aca="false">J31+J37+J43+J49+J55+J61+J67+J73+J79+J85+J91+J97+J103+J109</f>
        <v>326.408693363287</v>
      </c>
      <c r="K117" s="37" t="n">
        <f aca="false">K31+K37+K43+K49+K55+K61+K67+K73+K79+K85+K91+K97+K103+K109</f>
        <v>363.765035380474</v>
      </c>
      <c r="L117" s="37" t="n">
        <f aca="false">L31+L37+L43+L49+L55+L61+L67+L73+L79+L85+L91+L97+L103+L109</f>
        <v>374.175819221329</v>
      </c>
      <c r="M117" s="37" t="n">
        <f aca="false">M31+M37+M43+M49+M55+M61+M67+M73+M79+M85+M91+M97+M103+M109</f>
        <v>413.369358386902</v>
      </c>
      <c r="N117" s="37" t="n">
        <f aca="false">N31+N37+N43+N49+N55+N61+N67+N73+N79+N85+N91+N97+N103+N109</f>
        <v>438.171519890116</v>
      </c>
      <c r="O117" s="37" t="n">
        <f aca="false">O31+O37+O43+O49+O55+O61+O67+O73+O79+O85+O91+O97+O103+O109</f>
        <v>445.826508008392</v>
      </c>
      <c r="P117" s="37" t="n">
        <f aca="false">P31+P37+P43+P49+P55+P61+P67+P73+P79+P85+P91+P97+P103+P109</f>
        <v>487.775842896544</v>
      </c>
      <c r="Q117" s="37" t="n">
        <f aca="false">Q31+Q37+Q43+Q49+Q55+Q61+Q67+Q73+Q79+Q85+Q91+Q97+Q103+Q109</f>
        <v>493.593633866434</v>
      </c>
      <c r="R117" s="37" t="n">
        <f aca="false">R31+R37+R43+R49+R55+R61+R67+R73+R79+R85+R91+R97+R103+R109</f>
        <v>537.380165902973</v>
      </c>
      <c r="S117" s="37" t="n">
        <f aca="false">S31+S37+S43+S49+S55+S61+S67+S73+S79+S85+S91+S97+S103+S109</f>
        <v>562.182327406187</v>
      </c>
      <c r="T117" s="37" t="n">
        <f aca="false">T31+T37+T43+T49+T55+T61+T67+T73+T79+T85+T91+T97+T103+T109</f>
        <v>543.504156397593</v>
      </c>
      <c r="U117" s="37" t="n">
        <f aca="false">U31+U37+U43+U49+U55+U61+U67+U73+U79+U85+U91+U97+U103+U109</f>
        <v>611.786650412615</v>
      </c>
      <c r="V117" s="37" t="n">
        <f aca="false">V31+V37+V43+V49+V55+V61+V67+V73+V79+V85+V91+V97+V103+V109</f>
        <v>613.011448511539</v>
      </c>
      <c r="W117" s="37" t="n">
        <f aca="false">W31+W37+W43+W49+W55+W61+W67+W73+W79+W85+W91+W97+W103+W109</f>
        <v>661.390973419043</v>
      </c>
      <c r="X117" s="37" t="n">
        <f aca="false">X31+X37+X43+X49+X55+X61+X67+X73+X79+X85+X91+X97+X103+X109</f>
        <v>660.778574369581</v>
      </c>
      <c r="Y117" s="37" t="n">
        <f aca="false">Y31+Y37+Y43+Y49+Y55+Y61+Y67+Y73+Y79+Y85+Y91+Y97+Y103+Y109</f>
        <v>710.995296425472</v>
      </c>
      <c r="Z117" s="37" t="n">
        <f aca="false">Z31+Z37+Z43+Z49+Z55+Z61+Z67+Z73+Z79+Z85+Z91+Z97+Z103+Z109</f>
        <v>735.797457928686</v>
      </c>
      <c r="AA117" s="37" t="n">
        <f aca="false">AA31+AA37+AA43+AA49+AA55+AA61+AA67+AA73+AA79+AA85+AA91+AA97+AA103+AA109</f>
        <v>732.429263156644</v>
      </c>
      <c r="AB117" s="37" t="n">
        <f aca="false">AB31+AB37+AB43+AB49+AB55+AB61+AB67+AB73+AB79+AB85+AB91+AB97+AB103+AB109</f>
        <v>785.401780935114</v>
      </c>
      <c r="AC117" s="37" t="n">
        <f aca="false">AC31+AC37+AC43+AC49+AC55+AC61+AC67+AC73+AC79+AC85+AC91+AC97+AC103+AC109</f>
        <v>780.196389014686</v>
      </c>
      <c r="AD117" s="37" t="n">
        <f aca="false">AD31+AD37+AD43+AD49+AD55+AD61+AD67+AD73+AD79+AD85+AD91+AD97+AD103+AD109</f>
        <v>835.006103941542</v>
      </c>
      <c r="AE117" s="37" t="n">
        <f aca="false">AE31+AE37+AE43+AE49+AE55+AE61+AE67+AE73+AE79+AE85+AE91+AE97+AE103+AE109</f>
        <v>859.808265444756</v>
      </c>
      <c r="AF117" s="37" t="n">
        <f aca="false">AF31+AF37+AF43+AF49+AF55+AF61+AF67+AF73+AF79+AF85+AF91+AF97+AF103+AF109</f>
        <v>786.320379509307</v>
      </c>
      <c r="AG117" s="37" t="n">
        <f aca="false">AG31+AG37+AG43+AG49+AG55+AG61+AG67+AG73+AG79+AG85+AG91+AG97+AG103+AG109</f>
        <v>909.412588451184</v>
      </c>
      <c r="AH117" s="37" t="n">
        <f aca="false">AH31+AH37+AH43+AH49+AH55+AH61+AH67+AH73+AH79+AH85+AH91+AH97+AH103+AH109</f>
        <v>899.614203659791</v>
      </c>
      <c r="AI117" s="37" t="n">
        <f aca="false">AI31+AI37+AI43+AI49+AI55+AI61+AI67+AI73+AI79+AI85+AI91+AI97+AI103+AI109</f>
        <v>959.016911457613</v>
      </c>
      <c r="AJ117" s="37" t="n">
        <f aca="false">AJ31+AJ37+AJ43+AJ49+AJ55+AJ61+AJ67+AJ73+AJ79+AJ85+AJ91+AJ97+AJ103+AJ109</f>
        <v>947.381329517833</v>
      </c>
      <c r="AK117" s="37" t="n">
        <f aca="false">AK31+AK37+AK43+AK49+AK55+AK61+AK67+AK73+AK79+AK85+AK91+AK97+AK103+AK109</f>
        <v>1008.62123446404</v>
      </c>
      <c r="AL117" s="37" t="n">
        <f aca="false">AL31+AL37+AL43+AL49+AL55+AL61+AL67+AL73+AL79+AL85+AL91+AL97+AL103+AL109</f>
        <v>1033.42339596725</v>
      </c>
    </row>
    <row r="118" customFormat="false" ht="15" hidden="false" customHeight="false" outlineLevel="0" collapsed="false">
      <c r="A118" s="6" t="s">
        <v>502</v>
      </c>
      <c r="C118" s="35" t="n">
        <f aca="false">C30+C36+C42+C48+C54+C60+C66+C72+C78+C84+C90+C96+C102</f>
        <v>78.2496</v>
      </c>
      <c r="D118" s="35" t="n">
        <f aca="false">D30+D36+D42+D48+D54+D60+D66+D72+D78+D84+D90+D96+D102</f>
        <v>93.44808</v>
      </c>
      <c r="E118" s="35" t="n">
        <f aca="false">E30+E36+E42+E48+E54+E60+E66+E72+E78+E84+E90+E96+E102</f>
        <v>101.72448</v>
      </c>
      <c r="F118" s="35" t="n">
        <f aca="false">F30+F36+F42+F48+F54+F60+F66+F72+F78+F84+F90+F96+F102</f>
        <v>117.82584</v>
      </c>
      <c r="G118" s="35" t="n">
        <f aca="false">G30+G36+G42+G48+G54+G60+G66+G72+G78+G84+G90+G96+G102</f>
        <v>130.01472</v>
      </c>
      <c r="H118" s="35" t="n">
        <f aca="false">H30+H36+H42+H48+H54+H60+H66+H72+H78+H84+H90+H96+H102</f>
        <v>126.4032</v>
      </c>
      <c r="I118" s="35" t="n">
        <f aca="false">I30+I36+I42+I48+I54+I60+I66+I72+I78+I84+I90+I96+I102</f>
        <v>154.39248</v>
      </c>
      <c r="J118" s="35" t="n">
        <f aca="false">J30+J36+J42+J48+J54+J60+J66+J72+J78+J84+J90+J96+J102</f>
        <v>160.41168</v>
      </c>
      <c r="K118" s="35" t="n">
        <f aca="false">K30+K36+K42+K48+K54+K60+K66+K72+K78+K84+K90+K96+K102</f>
        <v>178.77024</v>
      </c>
      <c r="L118" s="35" t="n">
        <f aca="false">L30+L36+L42+L48+L54+L60+L66+L72+L78+L84+L90+L96+L102</f>
        <v>183.88656</v>
      </c>
      <c r="M118" s="35" t="n">
        <f aca="false">M30+M36+M42+M48+M54+M60+M66+M72+M78+M84+M90+M96+M102</f>
        <v>203.148</v>
      </c>
      <c r="N118" s="35" t="n">
        <f aca="false">N30+N36+N42+N48+N54+N60+N66+N72+N78+N84+N90+N96+N102</f>
        <v>215.33688</v>
      </c>
      <c r="O118" s="35" t="n">
        <f aca="false">O30+O36+O42+O48+O54+O60+O66+O72+O78+O84+O90+O96+O102</f>
        <v>219.09888</v>
      </c>
      <c r="P118" s="35" t="n">
        <f aca="false">P30+P36+P42+P48+P54+P60+P66+P72+P78+P84+P90+P96+P102</f>
        <v>239.71464</v>
      </c>
      <c r="Q118" s="35" t="n">
        <f aca="false">Q30+Q36+Q42+Q48+Q54+Q60+Q66+Q72+Q78+Q84+Q90+Q96+Q102</f>
        <v>242.57376</v>
      </c>
      <c r="R118" s="35" t="n">
        <f aca="false">R30+R36+R42+R48+R54+R60+R66+R72+R78+R84+R90+R96+R102</f>
        <v>264.0924</v>
      </c>
      <c r="S118" s="35" t="n">
        <f aca="false">S30+S36+S42+S48+S54+S60+S66+S72+S78+S84+S90+S96+S102</f>
        <v>276.28128</v>
      </c>
      <c r="T118" s="35" t="n">
        <f aca="false">T30+T36+T42+T48+T54+T60+T66+T72+T78+T84+T90+T96+T102</f>
        <v>267.102</v>
      </c>
      <c r="U118" s="35" t="n">
        <f aca="false">U30+U36+U42+U48+U54+U60+U66+U72+U78+U84+U90+U96+U102</f>
        <v>300.65904</v>
      </c>
      <c r="V118" s="35" t="n">
        <f aca="false">V30+V36+V42+V48+V54+V60+V66+V72+V78+V84+V90+V96+V102</f>
        <v>301.26096</v>
      </c>
      <c r="W118" s="35" t="n">
        <f aca="false">W30+W36+W42+W48+W54+W60+W66+W72+W78+W84+W90+W96+W102</f>
        <v>325.0368</v>
      </c>
      <c r="X118" s="35" t="n">
        <f aca="false">X30+X36+X42+X48+X54+X60+X66+X72+X78+X84+X90+X96+X102</f>
        <v>324.73584</v>
      </c>
      <c r="Y118" s="35" t="n">
        <f aca="false">Y30+Y36+Y42+Y48+Y54+Y60+Y66+Y72+Y78+Y84+Y90+Y96+Y102</f>
        <v>349.41456</v>
      </c>
      <c r="Z118" s="35" t="n">
        <f aca="false">Z30+Z36+Z42+Z48+Z54+Z60+Z66+Z72+Z78+Z84+Z90+Z96+Z102</f>
        <v>361.60344</v>
      </c>
      <c r="AA118" s="35" t="n">
        <f aca="false">AA30+AA36+AA42+AA48+AA54+AA60+AA66+AA72+AA78+AA84+AA90+AA96+AA102</f>
        <v>359.94816</v>
      </c>
      <c r="AB118" s="35" t="n">
        <f aca="false">AB30+AB36+AB42+AB48+AB54+AB60+AB66+AB72+AB78+AB84+AB90+AB96+AB102</f>
        <v>385.9812</v>
      </c>
      <c r="AC118" s="35" t="n">
        <f aca="false">AC30+AC36+AC42+AC48+AC54+AC60+AC66+AC72+AC78+AC84+AC90+AC96+AC102</f>
        <v>383.42304</v>
      </c>
      <c r="AD118" s="35" t="n">
        <f aca="false">AD30+AD36+AD42+AD48+AD54+AD60+AD66+AD72+AD78+AD84+AD90+AD96+AD102</f>
        <v>410.35896</v>
      </c>
      <c r="AE118" s="35" t="n">
        <f aca="false">AE30+AE36+AE42+AE48+AE54+AE60+AE66+AE72+AE78+AE84+AE90+AE96+AE102</f>
        <v>422.54784</v>
      </c>
      <c r="AF118" s="35" t="n">
        <f aca="false">AF30+AF36+AF42+AF48+AF54+AF60+AF66+AF72+AF78+AF84+AF90+AF96+AF102</f>
        <v>386.43264</v>
      </c>
      <c r="AG118" s="35" t="n">
        <f aca="false">AG30+AG36+AG42+AG48+AG54+AG60+AG66+AG72+AG78+AG84+AG90+AG96+AG102</f>
        <v>446.9256</v>
      </c>
      <c r="AH118" s="35" t="n">
        <f aca="false">AH30+AH36+AH42+AH48+AH54+AH60+AH66+AH72+AH78+AH84+AH90+AH96+AH102</f>
        <v>442.11024</v>
      </c>
      <c r="AI118" s="35" t="n">
        <f aca="false">AI30+AI36+AI42+AI48+AI54+AI60+AI66+AI72+AI78+AI84+AI90+AI96+AI102</f>
        <v>471.30336</v>
      </c>
      <c r="AJ118" s="35" t="n">
        <f aca="false">AJ30+AJ36+AJ42+AJ48+AJ54+AJ60+AJ66+AJ72+AJ78+AJ84+AJ90+AJ96+AJ102</f>
        <v>465.58512</v>
      </c>
      <c r="AK118" s="35" t="n">
        <f aca="false">AK30+AK36+AK42+AK48+AK54+AK60+AK66+AK72+AK78+AK84+AK90+AK96+AK102</f>
        <v>495.68112</v>
      </c>
      <c r="AL118" s="35" t="n">
        <f aca="false">AL30+AL36+AL42+AL48+AL54+AL60+AL66+AL72+AL78+AL84+AL90+AL96+AL102</f>
        <v>507.87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"/>
    <col collapsed="false" customWidth="true" hidden="false" outlineLevel="0" max="38" min="3" style="0" width="9"/>
  </cols>
  <sheetData>
    <row r="1" customFormat="false" ht="19.7" hidden="false" customHeight="false" outlineLevel="0" collapsed="false">
      <c r="A1" s="1" t="s">
        <v>503</v>
      </c>
    </row>
    <row r="2" customFormat="false" ht="15" hidden="false" customHeight="false" outlineLevel="0" collapsed="false">
      <c r="A2" s="2" t="s">
        <v>504</v>
      </c>
    </row>
    <row r="3" customFormat="false" ht="15" hidden="false" customHeight="false" outlineLevel="0" collapsed="false">
      <c r="A3" s="2" t="s">
        <v>505</v>
      </c>
    </row>
    <row r="5" customFormat="false" ht="15" hidden="false" customHeight="false" outlineLevel="0" collapsed="false">
      <c r="A5" s="20" t="s">
        <v>506</v>
      </c>
    </row>
    <row r="6" customFormat="false" ht="15" hidden="false" customHeight="false" outlineLevel="0" collapsed="false">
      <c r="B6" s="20" t="s">
        <v>507</v>
      </c>
      <c r="C6" s="20" t="s">
        <v>508</v>
      </c>
      <c r="D6" s="20" t="s">
        <v>509</v>
      </c>
      <c r="E6" s="20" t="s">
        <v>510</v>
      </c>
      <c r="F6" s="20" t="s">
        <v>511</v>
      </c>
      <c r="G6" s="20" t="s">
        <v>512</v>
      </c>
      <c r="H6" s="20" t="s">
        <v>513</v>
      </c>
      <c r="I6" s="20" t="s">
        <v>514</v>
      </c>
      <c r="J6" s="20" t="s">
        <v>515</v>
      </c>
      <c r="K6" s="20" t="s">
        <v>516</v>
      </c>
      <c r="L6" s="20" t="s">
        <v>517</v>
      </c>
      <c r="M6" s="20" t="s">
        <v>518</v>
      </c>
    </row>
    <row r="7" customFormat="false" ht="15" hidden="false" customHeight="false" outlineLevel="0" collapsed="false">
      <c r="A7" s="6" t="s">
        <v>519</v>
      </c>
      <c r="B7" s="9" t="n">
        <v>82</v>
      </c>
      <c r="C7" s="9" t="n">
        <v>80</v>
      </c>
      <c r="D7" s="9" t="n">
        <v>68</v>
      </c>
      <c r="E7" s="9" t="n">
        <v>36</v>
      </c>
      <c r="F7" s="9" t="n">
        <v>45</v>
      </c>
      <c r="G7" s="9" t="n">
        <v>120</v>
      </c>
      <c r="H7" s="9" t="n">
        <v>180</v>
      </c>
      <c r="I7" s="9" t="n">
        <v>180</v>
      </c>
      <c r="J7" s="9" t="n">
        <v>45</v>
      </c>
      <c r="K7" s="9" t="n">
        <v>36</v>
      </c>
      <c r="L7" s="9" t="n">
        <v>68</v>
      </c>
      <c r="M7" s="9" t="n">
        <v>82</v>
      </c>
    </row>
    <row r="9" customFormat="false" ht="15" hidden="false" customHeight="false" outlineLevel="0" collapsed="false">
      <c r="A9" s="3" t="s">
        <v>520</v>
      </c>
    </row>
    <row r="10" customFormat="false" ht="15" hidden="false" customHeight="false" outlineLevel="0" collapsed="false">
      <c r="A10" s="20" t="s">
        <v>488</v>
      </c>
      <c r="C10" s="34" t="n">
        <f aca="false">EDATE(Assumptions!$B$5,COLUMN()-3)</f>
        <v>46266</v>
      </c>
      <c r="D10" s="34" t="n">
        <f aca="false">EDATE(Assumptions!$B$5,COLUMN()-3)</f>
        <v>46296</v>
      </c>
      <c r="E10" s="34" t="n">
        <f aca="false">EDATE(Assumptions!$B$5,COLUMN()-3)</f>
        <v>46327</v>
      </c>
      <c r="F10" s="34" t="n">
        <f aca="false">EDATE(Assumptions!$B$5,COLUMN()-3)</f>
        <v>46357</v>
      </c>
      <c r="G10" s="34" t="n">
        <f aca="false">EDATE(Assumptions!$B$5,COLUMN()-3)</f>
        <v>46388</v>
      </c>
      <c r="H10" s="34" t="n">
        <f aca="false">EDATE(Assumptions!$B$5,COLUMN()-3)</f>
        <v>46419</v>
      </c>
      <c r="I10" s="34" t="n">
        <f aca="false">EDATE(Assumptions!$B$5,COLUMN()-3)</f>
        <v>46447</v>
      </c>
      <c r="J10" s="34" t="n">
        <f aca="false">EDATE(Assumptions!$B$5,COLUMN()-3)</f>
        <v>46478</v>
      </c>
      <c r="K10" s="34" t="n">
        <f aca="false">EDATE(Assumptions!$B$5,COLUMN()-3)</f>
        <v>46508</v>
      </c>
      <c r="L10" s="34" t="n">
        <f aca="false">EDATE(Assumptions!$B$5,COLUMN()-3)</f>
        <v>46539</v>
      </c>
      <c r="M10" s="34" t="n">
        <f aca="false">EDATE(Assumptions!$B$5,COLUMN()-3)</f>
        <v>46569</v>
      </c>
      <c r="N10" s="34" t="n">
        <f aca="false">EDATE(Assumptions!$B$5,COLUMN()-3)</f>
        <v>46600</v>
      </c>
      <c r="O10" s="34" t="n">
        <f aca="false">EDATE(Assumptions!$B$5,COLUMN()-3)</f>
        <v>46631</v>
      </c>
      <c r="P10" s="34" t="n">
        <f aca="false">EDATE(Assumptions!$B$5,COLUMN()-3)</f>
        <v>46661</v>
      </c>
      <c r="Q10" s="34" t="n">
        <f aca="false">EDATE(Assumptions!$B$5,COLUMN()-3)</f>
        <v>46692</v>
      </c>
      <c r="R10" s="34" t="n">
        <f aca="false">EDATE(Assumptions!$B$5,COLUMN()-3)</f>
        <v>46722</v>
      </c>
      <c r="S10" s="34" t="n">
        <f aca="false">EDATE(Assumptions!$B$5,COLUMN()-3)</f>
        <v>46753</v>
      </c>
      <c r="T10" s="34" t="n">
        <f aca="false">EDATE(Assumptions!$B$5,COLUMN()-3)</f>
        <v>46784</v>
      </c>
      <c r="U10" s="34" t="n">
        <f aca="false">EDATE(Assumptions!$B$5,COLUMN()-3)</f>
        <v>46813</v>
      </c>
      <c r="V10" s="34" t="n">
        <f aca="false">EDATE(Assumptions!$B$5,COLUMN()-3)</f>
        <v>46844</v>
      </c>
      <c r="W10" s="34" t="n">
        <f aca="false">EDATE(Assumptions!$B$5,COLUMN()-3)</f>
        <v>46874</v>
      </c>
      <c r="X10" s="34" t="n">
        <f aca="false">EDATE(Assumptions!$B$5,COLUMN()-3)</f>
        <v>46905</v>
      </c>
      <c r="Y10" s="34" t="n">
        <f aca="false">EDATE(Assumptions!$B$5,COLUMN()-3)</f>
        <v>46935</v>
      </c>
      <c r="Z10" s="34" t="n">
        <f aca="false">EDATE(Assumptions!$B$5,COLUMN()-3)</f>
        <v>46966</v>
      </c>
      <c r="AA10" s="34" t="n">
        <f aca="false">EDATE(Assumptions!$B$5,COLUMN()-3)</f>
        <v>46997</v>
      </c>
      <c r="AB10" s="34" t="n">
        <f aca="false">EDATE(Assumptions!$B$5,COLUMN()-3)</f>
        <v>47027</v>
      </c>
      <c r="AC10" s="34" t="n">
        <f aca="false">EDATE(Assumptions!$B$5,COLUMN()-3)</f>
        <v>47058</v>
      </c>
      <c r="AD10" s="34" t="n">
        <f aca="false">EDATE(Assumptions!$B$5,COLUMN()-3)</f>
        <v>47088</v>
      </c>
      <c r="AE10" s="34" t="n">
        <f aca="false">EDATE(Assumptions!$B$5,COLUMN()-3)</f>
        <v>47119</v>
      </c>
      <c r="AF10" s="34" t="n">
        <f aca="false">EDATE(Assumptions!$B$5,COLUMN()-3)</f>
        <v>47150</v>
      </c>
      <c r="AG10" s="34" t="n">
        <f aca="false">EDATE(Assumptions!$B$5,COLUMN()-3)</f>
        <v>47178</v>
      </c>
      <c r="AH10" s="34" t="n">
        <f aca="false">EDATE(Assumptions!$B$5,COLUMN()-3)</f>
        <v>47209</v>
      </c>
      <c r="AI10" s="34" t="n">
        <f aca="false">EDATE(Assumptions!$B$5,COLUMN()-3)</f>
        <v>47239</v>
      </c>
      <c r="AJ10" s="34" t="n">
        <f aca="false">EDATE(Assumptions!$B$5,COLUMN()-3)</f>
        <v>47270</v>
      </c>
      <c r="AK10" s="34" t="n">
        <f aca="false">EDATE(Assumptions!$B$5,COLUMN()-3)</f>
        <v>47300</v>
      </c>
      <c r="AL10" s="34" t="n">
        <f aca="false">EDATE(Assumptions!$B$5,COLUMN()-3)</f>
        <v>47331</v>
      </c>
    </row>
    <row r="11" customFormat="false" ht="15" hidden="false" customHeight="false" outlineLevel="0" collapsed="false">
      <c r="A11" s="6" t="s">
        <v>521</v>
      </c>
      <c r="C11" s="35" t="n">
        <f aca="false">DAY(EOMONTH(C$10,0))</f>
        <v>30</v>
      </c>
      <c r="D11" s="35" t="n">
        <f aca="false">DAY(EOMONTH(D$10,0))</f>
        <v>31</v>
      </c>
      <c r="E11" s="35" t="n">
        <f aca="false">DAY(EOMONTH(E$10,0))</f>
        <v>30</v>
      </c>
      <c r="F11" s="35" t="n">
        <f aca="false">DAY(EOMONTH(F$10,0))</f>
        <v>31</v>
      </c>
      <c r="G11" s="35" t="n">
        <f aca="false">DAY(EOMONTH(G$10,0))</f>
        <v>31</v>
      </c>
      <c r="H11" s="35" t="n">
        <f aca="false">DAY(EOMONTH(H$10,0))</f>
        <v>28</v>
      </c>
      <c r="I11" s="35" t="n">
        <f aca="false">DAY(EOMONTH(I$10,0))</f>
        <v>31</v>
      </c>
      <c r="J11" s="35" t="n">
        <f aca="false">DAY(EOMONTH(J$10,0))</f>
        <v>30</v>
      </c>
      <c r="K11" s="35" t="n">
        <f aca="false">DAY(EOMONTH(K$10,0))</f>
        <v>31</v>
      </c>
      <c r="L11" s="35" t="n">
        <f aca="false">DAY(EOMONTH(L$10,0))</f>
        <v>30</v>
      </c>
      <c r="M11" s="35" t="n">
        <f aca="false">DAY(EOMONTH(M$10,0))</f>
        <v>31</v>
      </c>
      <c r="N11" s="35" t="n">
        <f aca="false">DAY(EOMONTH(N$10,0))</f>
        <v>31</v>
      </c>
      <c r="O11" s="35" t="n">
        <f aca="false">DAY(EOMONTH(O$10,0))</f>
        <v>30</v>
      </c>
      <c r="P11" s="35" t="n">
        <f aca="false">DAY(EOMONTH(P$10,0))</f>
        <v>31</v>
      </c>
      <c r="Q11" s="35" t="n">
        <f aca="false">DAY(EOMONTH(Q$10,0))</f>
        <v>30</v>
      </c>
      <c r="R11" s="35" t="n">
        <f aca="false">DAY(EOMONTH(R$10,0))</f>
        <v>31</v>
      </c>
      <c r="S11" s="35" t="n">
        <f aca="false">DAY(EOMONTH(S$10,0))</f>
        <v>31</v>
      </c>
      <c r="T11" s="35" t="n">
        <f aca="false">DAY(EOMONTH(T$10,0))</f>
        <v>29</v>
      </c>
      <c r="U11" s="35" t="n">
        <f aca="false">DAY(EOMONTH(U$10,0))</f>
        <v>31</v>
      </c>
      <c r="V11" s="35" t="n">
        <f aca="false">DAY(EOMONTH(V$10,0))</f>
        <v>30</v>
      </c>
      <c r="W11" s="35" t="n">
        <f aca="false">DAY(EOMONTH(W$10,0))</f>
        <v>31</v>
      </c>
      <c r="X11" s="35" t="n">
        <f aca="false">DAY(EOMONTH(X$10,0))</f>
        <v>30</v>
      </c>
      <c r="Y11" s="35" t="n">
        <f aca="false">DAY(EOMONTH(Y$10,0))</f>
        <v>31</v>
      </c>
      <c r="Z11" s="35" t="n">
        <f aca="false">DAY(EOMONTH(Z$10,0))</f>
        <v>31</v>
      </c>
      <c r="AA11" s="35" t="n">
        <f aca="false">DAY(EOMONTH(AA$10,0))</f>
        <v>30</v>
      </c>
      <c r="AB11" s="35" t="n">
        <f aca="false">DAY(EOMONTH(AB$10,0))</f>
        <v>31</v>
      </c>
      <c r="AC11" s="35" t="n">
        <f aca="false">DAY(EOMONTH(AC$10,0))</f>
        <v>30</v>
      </c>
      <c r="AD11" s="35" t="n">
        <f aca="false">DAY(EOMONTH(AD$10,0))</f>
        <v>31</v>
      </c>
      <c r="AE11" s="35" t="n">
        <f aca="false">DAY(EOMONTH(AE$10,0))</f>
        <v>31</v>
      </c>
      <c r="AF11" s="35" t="n">
        <f aca="false">DAY(EOMONTH(AF$10,0))</f>
        <v>28</v>
      </c>
      <c r="AG11" s="35" t="n">
        <f aca="false">DAY(EOMONTH(AG$10,0))</f>
        <v>31</v>
      </c>
      <c r="AH11" s="35" t="n">
        <f aca="false">DAY(EOMONTH(AH$10,0))</f>
        <v>30</v>
      </c>
      <c r="AI11" s="35" t="n">
        <f aca="false">DAY(EOMONTH(AI$10,0))</f>
        <v>31</v>
      </c>
      <c r="AJ11" s="35" t="n">
        <f aca="false">DAY(EOMONTH(AJ$10,0))</f>
        <v>30</v>
      </c>
      <c r="AK11" s="35" t="n">
        <f aca="false">DAY(EOMONTH(AK$10,0))</f>
        <v>31</v>
      </c>
      <c r="AL11" s="35" t="n">
        <f aca="false">DAY(EOMONTH(AL$10,0))</f>
        <v>31</v>
      </c>
    </row>
    <row r="12" customFormat="false" ht="15" hidden="false" customHeight="false" outlineLevel="0" collapsed="false">
      <c r="A12" s="6" t="s">
        <v>522</v>
      </c>
      <c r="C12" s="35" t="n">
        <f aca="false">INDEX(Energy!$B$7:$M$7,MONTH(C$10))*Assumptions!$B$7</f>
        <v>405</v>
      </c>
      <c r="D12" s="35" t="n">
        <f aca="false">INDEX(Energy!$B$7:$M$7,MONTH(D$10))*Assumptions!$B$7</f>
        <v>324</v>
      </c>
      <c r="E12" s="35" t="n">
        <f aca="false">INDEX(Energy!$B$7:$M$7,MONTH(E$10))*Assumptions!$B$7</f>
        <v>612</v>
      </c>
      <c r="F12" s="35" t="n">
        <f aca="false">INDEX(Energy!$B$7:$M$7,MONTH(F$10))*Assumptions!$B$7</f>
        <v>738</v>
      </c>
      <c r="G12" s="35" t="n">
        <f aca="false">INDEX(Energy!$B$7:$M$7,MONTH(G$10))*Assumptions!$B$7</f>
        <v>738</v>
      </c>
      <c r="H12" s="35" t="n">
        <f aca="false">INDEX(Energy!$B$7:$M$7,MONTH(H$10))*Assumptions!$B$7</f>
        <v>720</v>
      </c>
      <c r="I12" s="35" t="n">
        <f aca="false">INDEX(Energy!$B$7:$M$7,MONTH(I$10))*Assumptions!$B$7</f>
        <v>612</v>
      </c>
      <c r="J12" s="35" t="n">
        <f aca="false">INDEX(Energy!$B$7:$M$7,MONTH(J$10))*Assumptions!$B$7</f>
        <v>324</v>
      </c>
      <c r="K12" s="35" t="n">
        <f aca="false">INDEX(Energy!$B$7:$M$7,MONTH(K$10))*Assumptions!$B$7</f>
        <v>405</v>
      </c>
      <c r="L12" s="35" t="n">
        <f aca="false">INDEX(Energy!$B$7:$M$7,MONTH(L$10))*Assumptions!$B$7</f>
        <v>1080</v>
      </c>
      <c r="M12" s="35" t="n">
        <f aca="false">INDEX(Energy!$B$7:$M$7,MONTH(M$10))*Assumptions!$B$7</f>
        <v>1620</v>
      </c>
      <c r="N12" s="35" t="n">
        <f aca="false">INDEX(Energy!$B$7:$M$7,MONTH(N$10))*Assumptions!$B$7</f>
        <v>1620</v>
      </c>
      <c r="O12" s="35" t="n">
        <f aca="false">INDEX(Energy!$B$7:$M$7,MONTH(O$10))*Assumptions!$B$7</f>
        <v>405</v>
      </c>
      <c r="P12" s="35" t="n">
        <f aca="false">INDEX(Energy!$B$7:$M$7,MONTH(P$10))*Assumptions!$B$7</f>
        <v>324</v>
      </c>
      <c r="Q12" s="35" t="n">
        <f aca="false">INDEX(Energy!$B$7:$M$7,MONTH(Q$10))*Assumptions!$B$7</f>
        <v>612</v>
      </c>
      <c r="R12" s="35" t="n">
        <f aca="false">INDEX(Energy!$B$7:$M$7,MONTH(R$10))*Assumptions!$B$7</f>
        <v>738</v>
      </c>
      <c r="S12" s="35" t="n">
        <f aca="false">INDEX(Energy!$B$7:$M$7,MONTH(S$10))*Assumptions!$B$7</f>
        <v>738</v>
      </c>
      <c r="T12" s="35" t="n">
        <f aca="false">INDEX(Energy!$B$7:$M$7,MONTH(T$10))*Assumptions!$B$7</f>
        <v>720</v>
      </c>
      <c r="U12" s="35" t="n">
        <f aca="false">INDEX(Energy!$B$7:$M$7,MONTH(U$10))*Assumptions!$B$7</f>
        <v>612</v>
      </c>
      <c r="V12" s="35" t="n">
        <f aca="false">INDEX(Energy!$B$7:$M$7,MONTH(V$10))*Assumptions!$B$7</f>
        <v>324</v>
      </c>
      <c r="W12" s="35" t="n">
        <f aca="false">INDEX(Energy!$B$7:$M$7,MONTH(W$10))*Assumptions!$B$7</f>
        <v>405</v>
      </c>
      <c r="X12" s="35" t="n">
        <f aca="false">INDEX(Energy!$B$7:$M$7,MONTH(X$10))*Assumptions!$B$7</f>
        <v>1080</v>
      </c>
      <c r="Y12" s="35" t="n">
        <f aca="false">INDEX(Energy!$B$7:$M$7,MONTH(Y$10))*Assumptions!$B$7</f>
        <v>1620</v>
      </c>
      <c r="Z12" s="35" t="n">
        <f aca="false">INDEX(Energy!$B$7:$M$7,MONTH(Z$10))*Assumptions!$B$7</f>
        <v>1620</v>
      </c>
      <c r="AA12" s="35" t="n">
        <f aca="false">INDEX(Energy!$B$7:$M$7,MONTH(AA$10))*Assumptions!$B$7</f>
        <v>405</v>
      </c>
      <c r="AB12" s="35" t="n">
        <f aca="false">INDEX(Energy!$B$7:$M$7,MONTH(AB$10))*Assumptions!$B$7</f>
        <v>324</v>
      </c>
      <c r="AC12" s="35" t="n">
        <f aca="false">INDEX(Energy!$B$7:$M$7,MONTH(AC$10))*Assumptions!$B$7</f>
        <v>612</v>
      </c>
      <c r="AD12" s="35" t="n">
        <f aca="false">INDEX(Energy!$B$7:$M$7,MONTH(AD$10))*Assumptions!$B$7</f>
        <v>738</v>
      </c>
      <c r="AE12" s="35" t="n">
        <f aca="false">INDEX(Energy!$B$7:$M$7,MONTH(AE$10))*Assumptions!$B$7</f>
        <v>738</v>
      </c>
      <c r="AF12" s="35" t="n">
        <f aca="false">INDEX(Energy!$B$7:$M$7,MONTH(AF$10))*Assumptions!$B$7</f>
        <v>720</v>
      </c>
      <c r="AG12" s="35" t="n">
        <f aca="false">INDEX(Energy!$B$7:$M$7,MONTH(AG$10))*Assumptions!$B$7</f>
        <v>612</v>
      </c>
      <c r="AH12" s="35" t="n">
        <f aca="false">INDEX(Energy!$B$7:$M$7,MONTH(AH$10))*Assumptions!$B$7</f>
        <v>324</v>
      </c>
      <c r="AI12" s="35" t="n">
        <f aca="false">INDEX(Energy!$B$7:$M$7,MONTH(AI$10))*Assumptions!$B$7</f>
        <v>405</v>
      </c>
      <c r="AJ12" s="35" t="n">
        <f aca="false">INDEX(Energy!$B$7:$M$7,MONTH(AJ$10))*Assumptions!$B$7</f>
        <v>1080</v>
      </c>
      <c r="AK12" s="35" t="n">
        <f aca="false">INDEX(Energy!$B$7:$M$7,MONTH(AK$10))*Assumptions!$B$7</f>
        <v>1620</v>
      </c>
      <c r="AL12" s="35" t="n">
        <f aca="false">INDEX(Energy!$B$7:$M$7,MONTH(AL$10))*Assumptions!$B$7</f>
        <v>1620</v>
      </c>
    </row>
    <row r="13" customFormat="false" ht="15" hidden="false" customHeight="false" outlineLevel="0" collapsed="false">
      <c r="A13" s="6" t="s">
        <v>523</v>
      </c>
      <c r="C13" s="35" t="n">
        <f aca="false">Assumptions!$B$25*C$11</f>
        <v>360</v>
      </c>
      <c r="D13" s="35" t="n">
        <f aca="false">Assumptions!$B$25*D$11</f>
        <v>372</v>
      </c>
      <c r="E13" s="35" t="n">
        <f aca="false">Assumptions!$B$25*E$11</f>
        <v>360</v>
      </c>
      <c r="F13" s="35" t="n">
        <f aca="false">Assumptions!$B$25*F$11</f>
        <v>372</v>
      </c>
      <c r="G13" s="35" t="n">
        <f aca="false">Assumptions!$B$25*G$11</f>
        <v>372</v>
      </c>
      <c r="H13" s="35" t="n">
        <f aca="false">Assumptions!$B$25*H$11</f>
        <v>336</v>
      </c>
      <c r="I13" s="35" t="n">
        <f aca="false">Assumptions!$B$25*I$11</f>
        <v>372</v>
      </c>
      <c r="J13" s="35" t="n">
        <f aca="false">Assumptions!$B$25*J$11</f>
        <v>360</v>
      </c>
      <c r="K13" s="35" t="n">
        <f aca="false">Assumptions!$B$25*K$11</f>
        <v>372</v>
      </c>
      <c r="L13" s="35" t="n">
        <f aca="false">Assumptions!$B$25*L$11</f>
        <v>360</v>
      </c>
      <c r="M13" s="35" t="n">
        <f aca="false">Assumptions!$B$25*M$11</f>
        <v>372</v>
      </c>
      <c r="N13" s="35" t="n">
        <f aca="false">Assumptions!$B$25*N$11</f>
        <v>372</v>
      </c>
      <c r="O13" s="35" t="n">
        <f aca="false">Assumptions!$B$25*O$11</f>
        <v>360</v>
      </c>
      <c r="P13" s="35" t="n">
        <f aca="false">Assumptions!$B$25*P$11</f>
        <v>372</v>
      </c>
      <c r="Q13" s="35" t="n">
        <f aca="false">Assumptions!$B$25*Q$11</f>
        <v>360</v>
      </c>
      <c r="R13" s="35" t="n">
        <f aca="false">Assumptions!$B$25*R$11</f>
        <v>372</v>
      </c>
      <c r="S13" s="35" t="n">
        <f aca="false">Assumptions!$B$25*S$11</f>
        <v>372</v>
      </c>
      <c r="T13" s="35" t="n">
        <f aca="false">Assumptions!$B$25*T$11</f>
        <v>348</v>
      </c>
      <c r="U13" s="35" t="n">
        <f aca="false">Assumptions!$B$25*U$11</f>
        <v>372</v>
      </c>
      <c r="V13" s="35" t="n">
        <f aca="false">Assumptions!$B$25*V$11</f>
        <v>360</v>
      </c>
      <c r="W13" s="35" t="n">
        <f aca="false">Assumptions!$B$25*W$11</f>
        <v>372</v>
      </c>
      <c r="X13" s="35" t="n">
        <f aca="false">Assumptions!$B$25*X$11</f>
        <v>360</v>
      </c>
      <c r="Y13" s="35" t="n">
        <f aca="false">Assumptions!$B$25*Y$11</f>
        <v>372</v>
      </c>
      <c r="Z13" s="35" t="n">
        <f aca="false">Assumptions!$B$25*Z$11</f>
        <v>372</v>
      </c>
      <c r="AA13" s="35" t="n">
        <f aca="false">Assumptions!$B$25*AA$11</f>
        <v>360</v>
      </c>
      <c r="AB13" s="35" t="n">
        <f aca="false">Assumptions!$B$25*AB$11</f>
        <v>372</v>
      </c>
      <c r="AC13" s="35" t="n">
        <f aca="false">Assumptions!$B$25*AC$11</f>
        <v>360</v>
      </c>
      <c r="AD13" s="35" t="n">
        <f aca="false">Assumptions!$B$25*AD$11</f>
        <v>372</v>
      </c>
      <c r="AE13" s="35" t="n">
        <f aca="false">Assumptions!$B$25*AE$11</f>
        <v>372</v>
      </c>
      <c r="AF13" s="35" t="n">
        <f aca="false">Assumptions!$B$25*AF$11</f>
        <v>336</v>
      </c>
      <c r="AG13" s="35" t="n">
        <f aca="false">Assumptions!$B$25*AG$11</f>
        <v>372</v>
      </c>
      <c r="AH13" s="35" t="n">
        <f aca="false">Assumptions!$B$25*AH$11</f>
        <v>360</v>
      </c>
      <c r="AI13" s="35" t="n">
        <f aca="false">Assumptions!$B$25*AI$11</f>
        <v>372</v>
      </c>
      <c r="AJ13" s="35" t="n">
        <f aca="false">Assumptions!$B$25*AJ$11</f>
        <v>360</v>
      </c>
      <c r="AK13" s="35" t="n">
        <f aca="false">Assumptions!$B$25*AK$11</f>
        <v>372</v>
      </c>
      <c r="AL13" s="35" t="n">
        <f aca="false">Assumptions!$B$25*AL$11</f>
        <v>372</v>
      </c>
    </row>
    <row r="14" customFormat="false" ht="15" hidden="false" customHeight="false" outlineLevel="0" collapsed="false">
      <c r="A14" s="6" t="s">
        <v>524</v>
      </c>
      <c r="C14" s="35" t="n">
        <f aca="false">Volumes!C$116</f>
        <v>52.538382</v>
      </c>
      <c r="D14" s="35" t="n">
        <f aca="false">Volumes!D$116</f>
        <v>62.74295235</v>
      </c>
      <c r="E14" s="35" t="n">
        <f aca="false">Volumes!E$116</f>
        <v>68.2998966</v>
      </c>
      <c r="F14" s="35" t="n">
        <f aca="false">Volumes!F$116</f>
        <v>79.11067905</v>
      </c>
      <c r="G14" s="35" t="n">
        <f aca="false">Volumes!G$116</f>
        <v>87.2945424</v>
      </c>
      <c r="H14" s="35" t="n">
        <f aca="false">Volumes!H$116</f>
        <v>84.869694</v>
      </c>
      <c r="I14" s="35" t="n">
        <f aca="false">Volumes!I$116</f>
        <v>103.6622691</v>
      </c>
      <c r="J14" s="35" t="n">
        <f aca="false">Volumes!J$116</f>
        <v>107.7036831</v>
      </c>
      <c r="K14" s="35" t="n">
        <f aca="false">Volumes!K$116</f>
        <v>120.0299958</v>
      </c>
      <c r="L14" s="35" t="n">
        <f aca="false">Volumes!L$116</f>
        <v>123.4651977</v>
      </c>
      <c r="M14" s="35" t="n">
        <f aca="false">Volumes!M$116</f>
        <v>136.3977225</v>
      </c>
      <c r="N14" s="35" t="n">
        <f aca="false">Volumes!N$116</f>
        <v>144.58158585</v>
      </c>
      <c r="O14" s="35" t="n">
        <f aca="false">Volumes!O$116</f>
        <v>147.1074696</v>
      </c>
      <c r="P14" s="35" t="n">
        <f aca="false">Volumes!P$116</f>
        <v>160.94931255</v>
      </c>
      <c r="Q14" s="35" t="n">
        <f aca="false">Volumes!Q$116</f>
        <v>162.8689842</v>
      </c>
      <c r="R14" s="35" t="n">
        <f aca="false">Volumes!R$116</f>
        <v>177.31703925</v>
      </c>
      <c r="S14" s="35" t="n">
        <f aca="false">Volumes!S$116</f>
        <v>185.5009026</v>
      </c>
      <c r="T14" s="35" t="n">
        <f aca="false">Volumes!T$116</f>
        <v>179.33774625</v>
      </c>
      <c r="U14" s="35" t="n">
        <f aca="false">Volumes!U$116</f>
        <v>201.8686293</v>
      </c>
      <c r="V14" s="35" t="n">
        <f aca="false">Volumes!V$116</f>
        <v>202.2727707</v>
      </c>
      <c r="W14" s="35" t="n">
        <f aca="false">Volumes!W$116</f>
        <v>218.236356</v>
      </c>
      <c r="X14" s="35" t="n">
        <f aca="false">Volumes!X$116</f>
        <v>218.0342853</v>
      </c>
      <c r="Y14" s="35" t="n">
        <f aca="false">Volumes!Y$116</f>
        <v>234.6040827</v>
      </c>
      <c r="Z14" s="35" t="n">
        <f aca="false">Volumes!Z$116</f>
        <v>242.78794605</v>
      </c>
      <c r="AA14" s="35" t="n">
        <f aca="false">Volumes!AA$116</f>
        <v>241.6765572</v>
      </c>
      <c r="AB14" s="35" t="n">
        <f aca="false">Volumes!AB$116</f>
        <v>259.15567275</v>
      </c>
      <c r="AC14" s="35" t="n">
        <f aca="false">Volumes!AC$116</f>
        <v>257.4380718</v>
      </c>
      <c r="AD14" s="35" t="n">
        <f aca="false">Volumes!AD$116</f>
        <v>275.52339945</v>
      </c>
      <c r="AE14" s="35" t="n">
        <f aca="false">Volumes!AE$116</f>
        <v>283.7072628</v>
      </c>
      <c r="AF14" s="35" t="n">
        <f aca="false">Volumes!AF$116</f>
        <v>259.4587788</v>
      </c>
      <c r="AG14" s="35" t="n">
        <f aca="false">Volumes!AG$116</f>
        <v>300.0749895</v>
      </c>
      <c r="AH14" s="35" t="n">
        <f aca="false">Volumes!AH$116</f>
        <v>296.8418583</v>
      </c>
      <c r="AI14" s="35" t="n">
        <f aca="false">Volumes!AI$116</f>
        <v>316.4427162</v>
      </c>
      <c r="AJ14" s="35" t="n">
        <f aca="false">Volumes!AJ$116</f>
        <v>312.6033729</v>
      </c>
      <c r="AK14" s="35" t="n">
        <f aca="false">Volumes!AK$116</f>
        <v>332.8104429</v>
      </c>
      <c r="AL14" s="35" t="n">
        <f aca="false">Volumes!AL$116</f>
        <v>340.99430625</v>
      </c>
    </row>
    <row r="15" customFormat="false" ht="15" hidden="false" customHeight="false" outlineLevel="0" collapsed="false">
      <c r="A15" s="20" t="s">
        <v>525</v>
      </c>
      <c r="C15" s="37" t="n">
        <f aca="false">C12+C13+C14</f>
        <v>817.538382</v>
      </c>
      <c r="D15" s="37" t="n">
        <f aca="false">D12+D13+D14</f>
        <v>758.74295235</v>
      </c>
      <c r="E15" s="37" t="n">
        <f aca="false">E12+E13+E14</f>
        <v>1040.2998966</v>
      </c>
      <c r="F15" s="37" t="n">
        <f aca="false">F12+F13+F14</f>
        <v>1189.11067905</v>
      </c>
      <c r="G15" s="37" t="n">
        <f aca="false">G12+G13+G14</f>
        <v>1197.2945424</v>
      </c>
      <c r="H15" s="37" t="n">
        <f aca="false">H12+H13+H14</f>
        <v>1140.869694</v>
      </c>
      <c r="I15" s="37" t="n">
        <f aca="false">I12+I13+I14</f>
        <v>1087.6622691</v>
      </c>
      <c r="J15" s="37" t="n">
        <f aca="false">J12+J13+J14</f>
        <v>791.7036831</v>
      </c>
      <c r="K15" s="37" t="n">
        <f aca="false">K12+K13+K14</f>
        <v>897.0299958</v>
      </c>
      <c r="L15" s="37" t="n">
        <f aca="false">L12+L13+L14</f>
        <v>1563.4651977</v>
      </c>
      <c r="M15" s="37" t="n">
        <f aca="false">M12+M13+M14</f>
        <v>2128.3977225</v>
      </c>
      <c r="N15" s="37" t="n">
        <f aca="false">N12+N13+N14</f>
        <v>2136.58158585</v>
      </c>
      <c r="O15" s="37" t="n">
        <f aca="false">O12+O13+O14</f>
        <v>912.1074696</v>
      </c>
      <c r="P15" s="37" t="n">
        <f aca="false">P12+P13+P14</f>
        <v>856.94931255</v>
      </c>
      <c r="Q15" s="37" t="n">
        <f aca="false">Q12+Q13+Q14</f>
        <v>1134.8689842</v>
      </c>
      <c r="R15" s="37" t="n">
        <f aca="false">R12+R13+R14</f>
        <v>1287.31703925</v>
      </c>
      <c r="S15" s="37" t="n">
        <f aca="false">S12+S13+S14</f>
        <v>1295.5009026</v>
      </c>
      <c r="T15" s="37" t="n">
        <f aca="false">T12+T13+T14</f>
        <v>1247.33774625</v>
      </c>
      <c r="U15" s="37" t="n">
        <f aca="false">U12+U13+U14</f>
        <v>1185.8686293</v>
      </c>
      <c r="V15" s="37" t="n">
        <f aca="false">V12+V13+V14</f>
        <v>886.2727707</v>
      </c>
      <c r="W15" s="37" t="n">
        <f aca="false">W12+W13+W14</f>
        <v>995.236356</v>
      </c>
      <c r="X15" s="37" t="n">
        <f aca="false">X12+X13+X14</f>
        <v>1658.0342853</v>
      </c>
      <c r="Y15" s="37" t="n">
        <f aca="false">Y12+Y13+Y14</f>
        <v>2226.6040827</v>
      </c>
      <c r="Z15" s="37" t="n">
        <f aca="false">Z12+Z13+Z14</f>
        <v>2234.78794605</v>
      </c>
      <c r="AA15" s="37" t="n">
        <f aca="false">AA12+AA13+AA14</f>
        <v>1006.6765572</v>
      </c>
      <c r="AB15" s="37" t="n">
        <f aca="false">AB12+AB13+AB14</f>
        <v>955.15567275</v>
      </c>
      <c r="AC15" s="37" t="n">
        <f aca="false">AC12+AC13+AC14</f>
        <v>1229.4380718</v>
      </c>
      <c r="AD15" s="37" t="n">
        <f aca="false">AD12+AD13+AD14</f>
        <v>1385.52339945</v>
      </c>
      <c r="AE15" s="37" t="n">
        <f aca="false">AE12+AE13+AE14</f>
        <v>1393.7072628</v>
      </c>
      <c r="AF15" s="37" t="n">
        <f aca="false">AF12+AF13+AF14</f>
        <v>1315.4587788</v>
      </c>
      <c r="AG15" s="37" t="n">
        <f aca="false">AG12+AG13+AG14</f>
        <v>1284.0749895</v>
      </c>
      <c r="AH15" s="37" t="n">
        <f aca="false">AH12+AH13+AH14</f>
        <v>980.8418583</v>
      </c>
      <c r="AI15" s="37" t="n">
        <f aca="false">AI12+AI13+AI14</f>
        <v>1093.4427162</v>
      </c>
      <c r="AJ15" s="37" t="n">
        <f aca="false">AJ12+AJ13+AJ14</f>
        <v>1752.6033729</v>
      </c>
      <c r="AK15" s="37" t="n">
        <f aca="false">AK12+AK13+AK14</f>
        <v>2324.8104429</v>
      </c>
      <c r="AL15" s="37" t="n">
        <f aca="false">AL12+AL13+AL14</f>
        <v>2332.99430625</v>
      </c>
    </row>
    <row r="16" customFormat="false" ht="15" hidden="false" customHeight="false" outlineLevel="0" collapsed="false">
      <c r="A16" s="6" t="s">
        <v>526</v>
      </c>
      <c r="C16" s="22" t="n">
        <f aca="false">C14*Assumptions!$B$23/100</f>
        <v>14.18536314</v>
      </c>
      <c r="D16" s="22" t="n">
        <f aca="false">D14*Assumptions!$B$23/100</f>
        <v>16.9405971345</v>
      </c>
      <c r="E16" s="22" t="n">
        <f aca="false">E14*Assumptions!$B$23/100</f>
        <v>18.440972082</v>
      </c>
      <c r="F16" s="22" t="n">
        <f aca="false">F14*Assumptions!$B$23/100</f>
        <v>21.3598833435</v>
      </c>
      <c r="G16" s="22" t="n">
        <f aca="false">G14*Assumptions!$B$23/100</f>
        <v>23.569526448</v>
      </c>
      <c r="H16" s="22" t="n">
        <f aca="false">H14*Assumptions!$B$23/100</f>
        <v>22.91481738</v>
      </c>
      <c r="I16" s="22" t="n">
        <f aca="false">I14*Assumptions!$B$23/100</f>
        <v>27.988812657</v>
      </c>
      <c r="J16" s="22" t="n">
        <f aca="false">J14*Assumptions!$B$23/100</f>
        <v>29.079994437</v>
      </c>
      <c r="K16" s="22" t="n">
        <f aca="false">K14*Assumptions!$B$23/100</f>
        <v>32.408098866</v>
      </c>
      <c r="L16" s="22" t="n">
        <f aca="false">L14*Assumptions!$B$23/100</f>
        <v>33.335603379</v>
      </c>
      <c r="M16" s="22" t="n">
        <f aca="false">M14*Assumptions!$B$23/100</f>
        <v>36.827385075</v>
      </c>
      <c r="N16" s="22" t="n">
        <f aca="false">N14*Assumptions!$B$23/100</f>
        <v>39.0370281795</v>
      </c>
      <c r="O16" s="22" t="n">
        <f aca="false">O14*Assumptions!$B$23/100</f>
        <v>39.719016792</v>
      </c>
      <c r="P16" s="22" t="n">
        <f aca="false">P14*Assumptions!$B$23/100</f>
        <v>43.4563143885</v>
      </c>
      <c r="Q16" s="22" t="n">
        <f aca="false">Q14*Assumptions!$B$23/100</f>
        <v>43.974625734</v>
      </c>
      <c r="R16" s="22" t="n">
        <f aca="false">R14*Assumptions!$B$23/100</f>
        <v>47.8756005975</v>
      </c>
      <c r="S16" s="22" t="n">
        <f aca="false">S14*Assumptions!$B$23/100</f>
        <v>50.085243702</v>
      </c>
      <c r="T16" s="22" t="n">
        <f aca="false">T14*Assumptions!$B$23/100</f>
        <v>48.4211914875</v>
      </c>
      <c r="U16" s="22" t="n">
        <f aca="false">U14*Assumptions!$B$23/100</f>
        <v>54.504529911</v>
      </c>
      <c r="V16" s="22" t="n">
        <f aca="false">V14*Assumptions!$B$23/100</f>
        <v>54.613648089</v>
      </c>
      <c r="W16" s="22" t="n">
        <f aca="false">W14*Assumptions!$B$23/100</f>
        <v>58.92381612</v>
      </c>
      <c r="X16" s="22" t="n">
        <f aca="false">X14*Assumptions!$B$23/100</f>
        <v>58.869257031</v>
      </c>
      <c r="Y16" s="22" t="n">
        <f aca="false">Y14*Assumptions!$B$23/100</f>
        <v>63.343102329</v>
      </c>
      <c r="Z16" s="22" t="n">
        <f aca="false">Z14*Assumptions!$B$23/100</f>
        <v>65.5527454335</v>
      </c>
      <c r="AA16" s="22" t="n">
        <f aca="false">AA14*Assumptions!$B$23/100</f>
        <v>65.252670444</v>
      </c>
      <c r="AB16" s="22" t="n">
        <f aca="false">AB14*Assumptions!$B$23/100</f>
        <v>69.9720316425</v>
      </c>
      <c r="AC16" s="22" t="n">
        <f aca="false">AC14*Assumptions!$B$23/100</f>
        <v>69.508279386</v>
      </c>
      <c r="AD16" s="22" t="n">
        <f aca="false">AD14*Assumptions!$B$23/100</f>
        <v>74.3913178515</v>
      </c>
      <c r="AE16" s="22" t="n">
        <f aca="false">AE14*Assumptions!$B$23/100</f>
        <v>76.600960956</v>
      </c>
      <c r="AF16" s="22" t="n">
        <f aca="false">AF14*Assumptions!$B$23/100</f>
        <v>70.053870276</v>
      </c>
      <c r="AG16" s="22" t="n">
        <f aca="false">AG14*Assumptions!$B$23/100</f>
        <v>81.020247165</v>
      </c>
      <c r="AH16" s="22" t="n">
        <f aca="false">AH14*Assumptions!$B$23/100</f>
        <v>80.147301741</v>
      </c>
      <c r="AI16" s="22" t="n">
        <f aca="false">AI14*Assumptions!$B$23/100</f>
        <v>85.439533374</v>
      </c>
      <c r="AJ16" s="22" t="n">
        <f aca="false">AJ14*Assumptions!$B$23/100</f>
        <v>84.402910683</v>
      </c>
      <c r="AK16" s="22" t="n">
        <f aca="false">AK14*Assumptions!$B$23/100</f>
        <v>89.858819583</v>
      </c>
      <c r="AL16" s="22" t="n">
        <f aca="false">AL14*Assumptions!$B$23/100</f>
        <v>92.0684626875</v>
      </c>
    </row>
    <row r="17" customFormat="false" ht="15" hidden="false" customHeight="false" outlineLevel="0" collapsed="false">
      <c r="A17" s="20" t="s">
        <v>527</v>
      </c>
      <c r="C17" s="23" t="n">
        <f aca="false">(C12+C13)*Assumptions!$B$23/100+C11*Assumptions!$B$24/100</f>
        <v>223.05</v>
      </c>
      <c r="D17" s="23" t="n">
        <f aca="false">(D12+D13)*Assumptions!$B$23/100+D11*Assumptions!$B$24/100</f>
        <v>204.97</v>
      </c>
      <c r="E17" s="23" t="n">
        <f aca="false">(E12+E13)*Assumptions!$B$23/100+E11*Assumptions!$B$24/100</f>
        <v>278.94</v>
      </c>
      <c r="F17" s="23" t="n">
        <f aca="false">(F12+F13)*Assumptions!$B$23/100+F11*Assumptions!$B$24/100</f>
        <v>316.75</v>
      </c>
      <c r="G17" s="23" t="n">
        <f aca="false">(G12+G13)*Assumptions!$B$23/100+G11*Assumptions!$B$24/100</f>
        <v>316.75</v>
      </c>
      <c r="H17" s="23" t="n">
        <f aca="false">(H12+H13)*Assumptions!$B$23/100+H11*Assumptions!$B$24/100</f>
        <v>300.52</v>
      </c>
      <c r="I17" s="23" t="n">
        <f aca="false">(I12+I13)*Assumptions!$B$23/100+I11*Assumptions!$B$24/100</f>
        <v>282.73</v>
      </c>
      <c r="J17" s="23" t="n">
        <f aca="false">(J12+J13)*Assumptions!$B$23/100+J11*Assumptions!$B$24/100</f>
        <v>201.18</v>
      </c>
      <c r="K17" s="23" t="n">
        <f aca="false">(K12+K13)*Assumptions!$B$23/100+K11*Assumptions!$B$24/100</f>
        <v>226.84</v>
      </c>
      <c r="L17" s="23" t="n">
        <f aca="false">(L12+L13)*Assumptions!$B$23/100+L11*Assumptions!$B$24/100</f>
        <v>405.3</v>
      </c>
      <c r="M17" s="23" t="n">
        <f aca="false">(M12+M13)*Assumptions!$B$23/100+M11*Assumptions!$B$24/100</f>
        <v>554.89</v>
      </c>
      <c r="N17" s="23" t="n">
        <f aca="false">(N12+N13)*Assumptions!$B$23/100+N11*Assumptions!$B$24/100</f>
        <v>554.89</v>
      </c>
      <c r="O17" s="23" t="n">
        <f aca="false">(O12+O13)*Assumptions!$B$23/100+O11*Assumptions!$B$24/100</f>
        <v>223.05</v>
      </c>
      <c r="P17" s="23" t="n">
        <f aca="false">(P12+P13)*Assumptions!$B$23/100+P11*Assumptions!$B$24/100</f>
        <v>204.97</v>
      </c>
      <c r="Q17" s="23" t="n">
        <f aca="false">(Q12+Q13)*Assumptions!$B$23/100+Q11*Assumptions!$B$24/100</f>
        <v>278.94</v>
      </c>
      <c r="R17" s="23" t="n">
        <f aca="false">(R12+R13)*Assumptions!$B$23/100+R11*Assumptions!$B$24/100</f>
        <v>316.75</v>
      </c>
      <c r="S17" s="23" t="n">
        <f aca="false">(S12+S13)*Assumptions!$B$23/100+S11*Assumptions!$B$24/100</f>
        <v>316.75</v>
      </c>
      <c r="T17" s="23" t="n">
        <f aca="false">(T12+T13)*Assumptions!$B$23/100+T11*Assumptions!$B$24/100</f>
        <v>304.31</v>
      </c>
      <c r="U17" s="23" t="n">
        <f aca="false">(U12+U13)*Assumptions!$B$23/100+U11*Assumptions!$B$24/100</f>
        <v>282.73</v>
      </c>
      <c r="V17" s="23" t="n">
        <f aca="false">(V12+V13)*Assumptions!$B$23/100+V11*Assumptions!$B$24/100</f>
        <v>201.18</v>
      </c>
      <c r="W17" s="23" t="n">
        <f aca="false">(W12+W13)*Assumptions!$B$23/100+W11*Assumptions!$B$24/100</f>
        <v>226.84</v>
      </c>
      <c r="X17" s="23" t="n">
        <f aca="false">(X12+X13)*Assumptions!$B$23/100+X11*Assumptions!$B$24/100</f>
        <v>405.3</v>
      </c>
      <c r="Y17" s="23" t="n">
        <f aca="false">(Y12+Y13)*Assumptions!$B$23/100+Y11*Assumptions!$B$24/100</f>
        <v>554.89</v>
      </c>
      <c r="Z17" s="23" t="n">
        <f aca="false">(Z12+Z13)*Assumptions!$B$23/100+Z11*Assumptions!$B$24/100</f>
        <v>554.89</v>
      </c>
      <c r="AA17" s="23" t="n">
        <f aca="false">(AA12+AA13)*Assumptions!$B$23/100+AA11*Assumptions!$B$24/100</f>
        <v>223.05</v>
      </c>
      <c r="AB17" s="23" t="n">
        <f aca="false">(AB12+AB13)*Assumptions!$B$23/100+AB11*Assumptions!$B$24/100</f>
        <v>204.97</v>
      </c>
      <c r="AC17" s="23" t="n">
        <f aca="false">(AC12+AC13)*Assumptions!$B$23/100+AC11*Assumptions!$B$24/100</f>
        <v>278.94</v>
      </c>
      <c r="AD17" s="23" t="n">
        <f aca="false">(AD12+AD13)*Assumptions!$B$23/100+AD11*Assumptions!$B$24/100</f>
        <v>316.75</v>
      </c>
      <c r="AE17" s="23" t="n">
        <f aca="false">(AE12+AE13)*Assumptions!$B$23/100+AE11*Assumptions!$B$24/100</f>
        <v>316.75</v>
      </c>
      <c r="AF17" s="23" t="n">
        <f aca="false">(AF12+AF13)*Assumptions!$B$23/100+AF11*Assumptions!$B$24/100</f>
        <v>300.52</v>
      </c>
      <c r="AG17" s="23" t="n">
        <f aca="false">(AG12+AG13)*Assumptions!$B$23/100+AG11*Assumptions!$B$24/100</f>
        <v>282.73</v>
      </c>
      <c r="AH17" s="23" t="n">
        <f aca="false">(AH12+AH13)*Assumptions!$B$23/100+AH11*Assumptions!$B$24/100</f>
        <v>201.18</v>
      </c>
      <c r="AI17" s="23" t="n">
        <f aca="false">(AI12+AI13)*Assumptions!$B$23/100+AI11*Assumptions!$B$24/100</f>
        <v>226.84</v>
      </c>
      <c r="AJ17" s="23" t="n">
        <f aca="false">(AJ12+AJ13)*Assumptions!$B$23/100+AJ11*Assumptions!$B$24/100</f>
        <v>405.3</v>
      </c>
      <c r="AK17" s="23" t="n">
        <f aca="false">(AK12+AK13)*Assumptions!$B$23/100+AK11*Assumptions!$B$24/100</f>
        <v>554.89</v>
      </c>
      <c r="AL17" s="23" t="n">
        <f aca="false">(AL12+AL13)*Assumptions!$B$23/100+AL11*Assumptions!$B$24/100</f>
        <v>554.89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38" min="3" style="0" width="10"/>
    <col collapsed="false" customWidth="true" hidden="false" outlineLevel="0" max="41" min="39" style="0" width="12"/>
  </cols>
  <sheetData>
    <row r="1" customFormat="false" ht="19.7" hidden="false" customHeight="false" outlineLevel="0" collapsed="false">
      <c r="A1" s="1" t="s">
        <v>528</v>
      </c>
    </row>
    <row r="2" customFormat="false" ht="43.5" hidden="false" customHeight="true" outlineLevel="0" collapsed="false">
      <c r="A2" s="8" t="s">
        <v>529</v>
      </c>
    </row>
    <row r="4" customFormat="false" ht="15" hidden="false" customHeight="false" outlineLevel="0" collapsed="false">
      <c r="A4" s="20" t="s">
        <v>488</v>
      </c>
      <c r="C4" s="34" t="n">
        <f aca="false">EDATE(Assumptions!$B$5,COLUMN()-3)</f>
        <v>46266</v>
      </c>
      <c r="D4" s="34" t="n">
        <f aca="false">EDATE(Assumptions!$B$5,COLUMN()-3)</f>
        <v>46296</v>
      </c>
      <c r="E4" s="34" t="n">
        <f aca="false">EDATE(Assumptions!$B$5,COLUMN()-3)</f>
        <v>46327</v>
      </c>
      <c r="F4" s="34" t="n">
        <f aca="false">EDATE(Assumptions!$B$5,COLUMN()-3)</f>
        <v>46357</v>
      </c>
      <c r="G4" s="34" t="n">
        <f aca="false">EDATE(Assumptions!$B$5,COLUMN()-3)</f>
        <v>46388</v>
      </c>
      <c r="H4" s="34" t="n">
        <f aca="false">EDATE(Assumptions!$B$5,COLUMN()-3)</f>
        <v>46419</v>
      </c>
      <c r="I4" s="34" t="n">
        <f aca="false">EDATE(Assumptions!$B$5,COLUMN()-3)</f>
        <v>46447</v>
      </c>
      <c r="J4" s="34" t="n">
        <f aca="false">EDATE(Assumptions!$B$5,COLUMN()-3)</f>
        <v>46478</v>
      </c>
      <c r="K4" s="34" t="n">
        <f aca="false">EDATE(Assumptions!$B$5,COLUMN()-3)</f>
        <v>46508</v>
      </c>
      <c r="L4" s="34" t="n">
        <f aca="false">EDATE(Assumptions!$B$5,COLUMN()-3)</f>
        <v>46539</v>
      </c>
      <c r="M4" s="34" t="n">
        <f aca="false">EDATE(Assumptions!$B$5,COLUMN()-3)</f>
        <v>46569</v>
      </c>
      <c r="N4" s="34" t="n">
        <f aca="false">EDATE(Assumptions!$B$5,COLUMN()-3)</f>
        <v>46600</v>
      </c>
      <c r="O4" s="34" t="n">
        <f aca="false">EDATE(Assumptions!$B$5,COLUMN()-3)</f>
        <v>46631</v>
      </c>
      <c r="P4" s="34" t="n">
        <f aca="false">EDATE(Assumptions!$B$5,COLUMN()-3)</f>
        <v>46661</v>
      </c>
      <c r="Q4" s="34" t="n">
        <f aca="false">EDATE(Assumptions!$B$5,COLUMN()-3)</f>
        <v>46692</v>
      </c>
      <c r="R4" s="34" t="n">
        <f aca="false">EDATE(Assumptions!$B$5,COLUMN()-3)</f>
        <v>46722</v>
      </c>
      <c r="S4" s="34" t="n">
        <f aca="false">EDATE(Assumptions!$B$5,COLUMN()-3)</f>
        <v>46753</v>
      </c>
      <c r="T4" s="34" t="n">
        <f aca="false">EDATE(Assumptions!$B$5,COLUMN()-3)</f>
        <v>46784</v>
      </c>
      <c r="U4" s="34" t="n">
        <f aca="false">EDATE(Assumptions!$B$5,COLUMN()-3)</f>
        <v>46813</v>
      </c>
      <c r="V4" s="34" t="n">
        <f aca="false">EDATE(Assumptions!$B$5,COLUMN()-3)</f>
        <v>46844</v>
      </c>
      <c r="W4" s="34" t="n">
        <f aca="false">EDATE(Assumptions!$B$5,COLUMN()-3)</f>
        <v>46874</v>
      </c>
      <c r="X4" s="34" t="n">
        <f aca="false">EDATE(Assumptions!$B$5,COLUMN()-3)</f>
        <v>46905</v>
      </c>
      <c r="Y4" s="34" t="n">
        <f aca="false">EDATE(Assumptions!$B$5,COLUMN()-3)</f>
        <v>46935</v>
      </c>
      <c r="Z4" s="34" t="n">
        <f aca="false">EDATE(Assumptions!$B$5,COLUMN()-3)</f>
        <v>46966</v>
      </c>
      <c r="AA4" s="34" t="n">
        <f aca="false">EDATE(Assumptions!$B$5,COLUMN()-3)</f>
        <v>46997</v>
      </c>
      <c r="AB4" s="34" t="n">
        <f aca="false">EDATE(Assumptions!$B$5,COLUMN()-3)</f>
        <v>47027</v>
      </c>
      <c r="AC4" s="34" t="n">
        <f aca="false">EDATE(Assumptions!$B$5,COLUMN()-3)</f>
        <v>47058</v>
      </c>
      <c r="AD4" s="34" t="n">
        <f aca="false">EDATE(Assumptions!$B$5,COLUMN()-3)</f>
        <v>47088</v>
      </c>
      <c r="AE4" s="34" t="n">
        <f aca="false">EDATE(Assumptions!$B$5,COLUMN()-3)</f>
        <v>47119</v>
      </c>
      <c r="AF4" s="34" t="n">
        <f aca="false">EDATE(Assumptions!$B$5,COLUMN()-3)</f>
        <v>47150</v>
      </c>
      <c r="AG4" s="34" t="n">
        <f aca="false">EDATE(Assumptions!$B$5,COLUMN()-3)</f>
        <v>47178</v>
      </c>
      <c r="AH4" s="34" t="n">
        <f aca="false">EDATE(Assumptions!$B$5,COLUMN()-3)</f>
        <v>47209</v>
      </c>
      <c r="AI4" s="34" t="n">
        <f aca="false">EDATE(Assumptions!$B$5,COLUMN()-3)</f>
        <v>47239</v>
      </c>
      <c r="AJ4" s="34" t="n">
        <f aca="false">EDATE(Assumptions!$B$5,COLUMN()-3)</f>
        <v>47270</v>
      </c>
      <c r="AK4" s="34" t="n">
        <f aca="false">EDATE(Assumptions!$B$5,COLUMN()-3)</f>
        <v>47300</v>
      </c>
      <c r="AL4" s="34" t="n">
        <f aca="false">EDATE(Assumptions!$B$5,COLUMN()-3)</f>
        <v>47331</v>
      </c>
      <c r="AM4" s="38" t="s">
        <v>530</v>
      </c>
      <c r="AN4" s="38" t="s">
        <v>531</v>
      </c>
      <c r="AO4" s="38" t="s">
        <v>532</v>
      </c>
    </row>
    <row r="5" customFormat="false" ht="15" hidden="false" customHeight="false" outlineLevel="0" collapsed="false">
      <c r="A5" s="20" t="s">
        <v>533</v>
      </c>
      <c r="C5" s="22" t="n">
        <f aca="false">Volumes!C$114</f>
        <v>13316.9388384278</v>
      </c>
      <c r="D5" s="22" t="n">
        <f aca="false">Volumes!D$114</f>
        <v>15903.4981128147</v>
      </c>
      <c r="E5" s="22" t="n">
        <f aca="false">Volumes!E$114</f>
        <v>17312.0204899561</v>
      </c>
      <c r="F5" s="22" t="n">
        <f aca="false">Volumes!F$114</f>
        <v>20052.2367509403</v>
      </c>
      <c r="G5" s="22" t="n">
        <f aca="false">Volumes!G$114</f>
        <v>22126.6060700031</v>
      </c>
      <c r="H5" s="22" t="n">
        <f aca="false">Volumes!H$114</f>
        <v>21511.9781236142</v>
      </c>
      <c r="I5" s="22" t="n">
        <f aca="false">Volumes!I$114</f>
        <v>26275.3447081287</v>
      </c>
      <c r="J5" s="22" t="n">
        <f aca="false">Volumes!J$114</f>
        <v>27299.724618777</v>
      </c>
      <c r="K5" s="22" t="n">
        <f aca="false">Volumes!K$114</f>
        <v>30424.0833462543</v>
      </c>
      <c r="L5" s="22" t="n">
        <f aca="false">Volumes!L$114</f>
        <v>31294.8062703053</v>
      </c>
      <c r="M5" s="22" t="n">
        <f aca="false">Volumes!M$114</f>
        <v>34572.8219843799</v>
      </c>
      <c r="N5" s="22" t="n">
        <f aca="false">Volumes!N$114</f>
        <v>36647.1913034427</v>
      </c>
      <c r="O5" s="22" t="n">
        <f aca="false">Volumes!O$114</f>
        <v>37287.4287475979</v>
      </c>
      <c r="P5" s="22" t="n">
        <f aca="false">Volumes!P$114</f>
        <v>40795.9299415683</v>
      </c>
      <c r="Q5" s="22" t="n">
        <f aca="false">Volumes!Q$114</f>
        <v>41282.5103991262</v>
      </c>
      <c r="R5" s="22" t="n">
        <f aca="false">Volumes!R$114</f>
        <v>44944.6685796939</v>
      </c>
      <c r="S5" s="22" t="n">
        <f aca="false">Volumes!S$114</f>
        <v>47019.0378987566</v>
      </c>
      <c r="T5" s="22" t="n">
        <f aca="false">Volumes!T$114</f>
        <v>45456.858535018</v>
      </c>
      <c r="U5" s="22" t="n">
        <f aca="false">Volumes!U$114</f>
        <v>51167.7765368822</v>
      </c>
      <c r="V5" s="22" t="n">
        <f aca="false">Volumes!V$114</f>
        <v>51270.214527947</v>
      </c>
      <c r="W5" s="22" t="n">
        <f aca="false">Volumes!W$114</f>
        <v>55316.5151750078</v>
      </c>
      <c r="X5" s="22" t="n">
        <f aca="false">Volumes!X$114</f>
        <v>55265.2961794754</v>
      </c>
      <c r="Y5" s="22" t="n">
        <f aca="false">Volumes!Y$114</f>
        <v>59465.2538131334</v>
      </c>
      <c r="Z5" s="22" t="n">
        <f aca="false">Volumes!Z$114</f>
        <v>61539.6231321962</v>
      </c>
      <c r="AA5" s="22" t="n">
        <f aca="false">Volumes!AA$114</f>
        <v>61257.9186567679</v>
      </c>
      <c r="AB5" s="22" t="n">
        <f aca="false">Volumes!AB$114</f>
        <v>65688.3617703218</v>
      </c>
      <c r="AC5" s="22" t="n">
        <f aca="false">Volumes!AC$114</f>
        <v>65253.0003082963</v>
      </c>
      <c r="AD5" s="22" t="n">
        <f aca="false">Volumes!AD$114</f>
        <v>69837.1004084474</v>
      </c>
      <c r="AE5" s="22" t="n">
        <f aca="false">Volumes!AE$114</f>
        <v>71911.4697275102</v>
      </c>
      <c r="AF5" s="22" t="n">
        <f aca="false">Volumes!AF$114</f>
        <v>65765.1902636204</v>
      </c>
      <c r="AG5" s="22" t="n">
        <f aca="false">Volumes!AG$114</f>
        <v>76060.2083656357</v>
      </c>
      <c r="AH5" s="22" t="n">
        <f aca="false">Volumes!AH$114</f>
        <v>75240.7044371171</v>
      </c>
      <c r="AI5" s="22" t="n">
        <f aca="false">Volumes!AI$114</f>
        <v>80208.9470037613</v>
      </c>
      <c r="AJ5" s="22" t="n">
        <f aca="false">Volumes!AJ$114</f>
        <v>79235.7860886454</v>
      </c>
      <c r="AK5" s="22" t="n">
        <f aca="false">Volumes!AK$114</f>
        <v>84357.6856418869</v>
      </c>
      <c r="AL5" s="22" t="n">
        <f aca="false">Volumes!AL$114</f>
        <v>86432.0549609497</v>
      </c>
      <c r="AM5" s="39" t="n">
        <f aca="false">SUM(C5:N5)</f>
        <v>296737.250617044</v>
      </c>
      <c r="AN5" s="39" t="n">
        <f aca="false">SUM(O5:Z5)</f>
        <v>590811.113466403</v>
      </c>
      <c r="AO5" s="39" t="n">
        <f aca="false">SUM(AA5:AL5)</f>
        <v>881248.42763296</v>
      </c>
    </row>
    <row r="6" customFormat="false" ht="15" hidden="false" customHeight="false" outlineLevel="0" collapsed="false">
      <c r="A6" s="6" t="s">
        <v>534</v>
      </c>
      <c r="C6" s="22" t="n">
        <f aca="false">C5</f>
        <v>13316.9388384278</v>
      </c>
      <c r="D6" s="22" t="n">
        <f aca="false">C6+D5</f>
        <v>29220.4369512426</v>
      </c>
      <c r="E6" s="22" t="n">
        <f aca="false">D6+E5</f>
        <v>46532.4574411987</v>
      </c>
      <c r="F6" s="22" t="n">
        <f aca="false">E6+F5</f>
        <v>66584.694192139</v>
      </c>
      <c r="G6" s="22" t="n">
        <f aca="false">F6+G5</f>
        <v>88711.3002621422</v>
      </c>
      <c r="H6" s="22" t="n">
        <f aca="false">G6+H5</f>
        <v>110223.278385756</v>
      </c>
      <c r="I6" s="22" t="n">
        <f aca="false">H6+I5</f>
        <v>136498.623093885</v>
      </c>
      <c r="J6" s="22" t="n">
        <f aca="false">I6+J5</f>
        <v>163798.347712662</v>
      </c>
      <c r="K6" s="22" t="n">
        <f aca="false">J6+K5</f>
        <v>194222.431058916</v>
      </c>
      <c r="L6" s="22" t="n">
        <f aca="false">K6+L5</f>
        <v>225517.237329222</v>
      </c>
      <c r="M6" s="22" t="n">
        <f aca="false">L6+M5</f>
        <v>260090.059313602</v>
      </c>
      <c r="N6" s="22" t="n">
        <f aca="false">M6+N5</f>
        <v>296737.250617044</v>
      </c>
      <c r="O6" s="22" t="n">
        <f aca="false">N6+O5</f>
        <v>334024.679364642</v>
      </c>
      <c r="P6" s="22" t="n">
        <f aca="false">O6+P5</f>
        <v>374820.60930621</v>
      </c>
      <c r="Q6" s="22" t="n">
        <f aca="false">P6+Q5</f>
        <v>416103.119705337</v>
      </c>
      <c r="R6" s="22" t="n">
        <f aca="false">Q6+R5</f>
        <v>461047.78828503</v>
      </c>
      <c r="S6" s="22" t="n">
        <f aca="false">R6+S5</f>
        <v>508066.826183787</v>
      </c>
      <c r="T6" s="22" t="n">
        <f aca="false">S6+T5</f>
        <v>553523.684718805</v>
      </c>
      <c r="U6" s="22" t="n">
        <f aca="false">T6+U5</f>
        <v>604691.461255687</v>
      </c>
      <c r="V6" s="22" t="n">
        <f aca="false">U6+V5</f>
        <v>655961.675783634</v>
      </c>
      <c r="W6" s="22" t="n">
        <f aca="false">V6+W5</f>
        <v>711278.190958642</v>
      </c>
      <c r="X6" s="22" t="n">
        <f aca="false">W6+X5</f>
        <v>766543.487138118</v>
      </c>
      <c r="Y6" s="22" t="n">
        <f aca="false">X6+Y5</f>
        <v>826008.740951251</v>
      </c>
      <c r="Z6" s="22" t="n">
        <f aca="false">Y6+Z5</f>
        <v>887548.364083447</v>
      </c>
      <c r="AA6" s="22" t="n">
        <f aca="false">Z6+AA5</f>
        <v>948806.282740215</v>
      </c>
      <c r="AB6" s="22" t="n">
        <f aca="false">AA6+AB5</f>
        <v>1014494.64451054</v>
      </c>
      <c r="AC6" s="22" t="n">
        <f aca="false">AB6+AC5</f>
        <v>1079747.64481883</v>
      </c>
      <c r="AD6" s="22" t="n">
        <f aca="false">AC6+AD5</f>
        <v>1149584.74522728</v>
      </c>
      <c r="AE6" s="22" t="n">
        <f aca="false">AD6+AE5</f>
        <v>1221496.21495479</v>
      </c>
      <c r="AF6" s="22" t="n">
        <f aca="false">AE6+AF5</f>
        <v>1287261.40521841</v>
      </c>
      <c r="AG6" s="22" t="n">
        <f aca="false">AF6+AG5</f>
        <v>1363321.61358405</v>
      </c>
      <c r="AH6" s="22" t="n">
        <f aca="false">AG6+AH5</f>
        <v>1438562.31802116</v>
      </c>
      <c r="AI6" s="22" t="n">
        <f aca="false">AH6+AI5</f>
        <v>1518771.26502493</v>
      </c>
      <c r="AJ6" s="22" t="n">
        <f aca="false">AI6+AJ5</f>
        <v>1598007.05111357</v>
      </c>
      <c r="AK6" s="22" t="n">
        <f aca="false">AJ6+AK5</f>
        <v>1682364.73675546</v>
      </c>
      <c r="AL6" s="22" t="n">
        <f aca="false">AK6+AL5</f>
        <v>1768796.79171641</v>
      </c>
    </row>
    <row r="7" customFormat="false" ht="15" hidden="false" customHeight="false" outlineLevel="0" collapsed="false">
      <c r="A7" s="6" t="s">
        <v>535</v>
      </c>
      <c r="C7" s="22" t="n">
        <f aca="false">C6+Assumptions!$B$44*(12-(COLUMN()-2))/12</f>
        <v>36233.6055050945</v>
      </c>
      <c r="D7" s="22" t="n">
        <f aca="false">D6+Assumptions!$B$44*(12-(COLUMN()-2))/12</f>
        <v>50053.7702845759</v>
      </c>
      <c r="E7" s="22" t="n">
        <f aca="false">E6+Assumptions!$B$44*(12-(COLUMN()-2))/12</f>
        <v>65282.4574411987</v>
      </c>
      <c r="F7" s="22" t="n">
        <f aca="false">F6+Assumptions!$B$44*(12-(COLUMN()-2))/12</f>
        <v>83251.3608588057</v>
      </c>
      <c r="G7" s="22" t="n">
        <f aca="false">G6+Assumptions!$B$44*(12-(COLUMN()-2))/12</f>
        <v>103294.633595475</v>
      </c>
      <c r="H7" s="22" t="n">
        <f aca="false">H6+Assumptions!$B$44*(12-(COLUMN()-2))/12</f>
        <v>122723.278385756</v>
      </c>
      <c r="I7" s="22" t="n">
        <f aca="false">I6+Assumptions!$B$44*(12-(COLUMN()-2))/12</f>
        <v>146915.289760552</v>
      </c>
      <c r="J7" s="22" t="n">
        <f aca="false">J6+Assumptions!$B$44*(12-(COLUMN()-2))/12</f>
        <v>172131.681045995</v>
      </c>
      <c r="K7" s="22" t="n">
        <f aca="false">K6+Assumptions!$B$44*(12-(COLUMN()-2))/12</f>
        <v>200472.431058916</v>
      </c>
      <c r="L7" s="22" t="n">
        <f aca="false">L6+Assumptions!$B$44*(12-(COLUMN()-2))/12</f>
        <v>229683.903995888</v>
      </c>
      <c r="M7" s="22" t="n">
        <f aca="false">M6+Assumptions!$B$44*(12-(COLUMN()-2))/12</f>
        <v>262173.392646935</v>
      </c>
      <c r="N7" s="22" t="n">
        <f aca="false">N6</f>
        <v>296737.250617044</v>
      </c>
      <c r="O7" s="22" t="n">
        <f aca="false">O6-C6</f>
        <v>320707.740526214</v>
      </c>
      <c r="P7" s="22" t="n">
        <f aca="false">P6-D6</f>
        <v>345600.172354968</v>
      </c>
      <c r="Q7" s="22" t="n">
        <f aca="false">Q6-E6</f>
        <v>369570.662264138</v>
      </c>
      <c r="R7" s="22" t="n">
        <f aca="false">R6-F6</f>
        <v>394463.094092891</v>
      </c>
      <c r="S7" s="22" t="n">
        <f aca="false">S6-G6</f>
        <v>419355.525921645</v>
      </c>
      <c r="T7" s="22" t="n">
        <f aca="false">T6-H6</f>
        <v>443300.406333049</v>
      </c>
      <c r="U7" s="22" t="n">
        <f aca="false">U6-I6</f>
        <v>468192.838161802</v>
      </c>
      <c r="V7" s="22" t="n">
        <f aca="false">V6-J6</f>
        <v>492163.328070972</v>
      </c>
      <c r="W7" s="22" t="n">
        <f aca="false">W6-K6</f>
        <v>517055.759899726</v>
      </c>
      <c r="X7" s="22" t="n">
        <f aca="false">X6-L6</f>
        <v>541026.249808896</v>
      </c>
      <c r="Y7" s="22" t="n">
        <f aca="false">Y6-M6</f>
        <v>565918.681637649</v>
      </c>
      <c r="Z7" s="22" t="n">
        <f aca="false">Z6-N6</f>
        <v>590811.113466403</v>
      </c>
      <c r="AA7" s="22" t="n">
        <f aca="false">AA6-O6</f>
        <v>614781.603375573</v>
      </c>
      <c r="AB7" s="22" t="n">
        <f aca="false">AB6-P6</f>
        <v>639674.035204326</v>
      </c>
      <c r="AC7" s="22" t="n">
        <f aca="false">AC6-Q6</f>
        <v>663644.525113496</v>
      </c>
      <c r="AD7" s="22" t="n">
        <f aca="false">AD6-R6</f>
        <v>688536.95694225</v>
      </c>
      <c r="AE7" s="22" t="n">
        <f aca="false">AE6-S6</f>
        <v>713429.388771003</v>
      </c>
      <c r="AF7" s="22" t="n">
        <f aca="false">AF6-T6</f>
        <v>733737.720499606</v>
      </c>
      <c r="AG7" s="22" t="n">
        <f aca="false">AG6-U6</f>
        <v>758630.152328359</v>
      </c>
      <c r="AH7" s="22" t="n">
        <f aca="false">AH6-V6</f>
        <v>782600.642237529</v>
      </c>
      <c r="AI7" s="22" t="n">
        <f aca="false">AI6-W6</f>
        <v>807493.074066283</v>
      </c>
      <c r="AJ7" s="22" t="n">
        <f aca="false">AJ6-X6</f>
        <v>831463.563975453</v>
      </c>
      <c r="AK7" s="22" t="n">
        <f aca="false">AK6-Y6</f>
        <v>856355.995804206</v>
      </c>
      <c r="AL7" s="22" t="n">
        <f aca="false">AL6-Z6</f>
        <v>881248.42763296</v>
      </c>
    </row>
    <row r="8" customFormat="false" ht="15" hidden="false" customHeight="false" outlineLevel="0" collapsed="false">
      <c r="A8" s="6" t="s">
        <v>536</v>
      </c>
      <c r="C8" s="35" t="n">
        <f aca="false">IF(Assumptions!$B$45&gt;0,IF(COLUMN()-2&gt;=Assumptions!$B$45,1,0),0)</f>
        <v>0</v>
      </c>
      <c r="D8" s="35" t="n">
        <f aca="false">IF(Assumptions!$B$45&gt;0,IF(COLUMN()-2&gt;=Assumptions!$B$45,1,0),IF(OR(C8=1,C7&gt;=Assumptions!$B$43),1,0))</f>
        <v>0</v>
      </c>
      <c r="E8" s="35" t="n">
        <f aca="false">IF(Assumptions!$B$45&gt;0,IF(COLUMN()-2&gt;=Assumptions!$B$45,1,0),IF(OR(D8=1,D7&gt;=Assumptions!$B$43),1,0))</f>
        <v>0</v>
      </c>
      <c r="F8" s="35" t="n">
        <f aca="false">IF(Assumptions!$B$45&gt;0,IF(COLUMN()-2&gt;=Assumptions!$B$45,1,0),IF(OR(E8=1,E7&gt;=Assumptions!$B$43),1,0))</f>
        <v>0</v>
      </c>
      <c r="G8" s="35" t="n">
        <f aca="false">IF(Assumptions!$B$45&gt;0,IF(COLUMN()-2&gt;=Assumptions!$B$45,1,0),IF(OR(F8=1,F7&gt;=Assumptions!$B$43),1,0))</f>
        <v>0</v>
      </c>
      <c r="H8" s="35" t="n">
        <f aca="false">IF(Assumptions!$B$45&gt;0,IF(COLUMN()-2&gt;=Assumptions!$B$45,1,0),IF(OR(G8=1,G7&gt;=Assumptions!$B$43),1,0))</f>
        <v>1</v>
      </c>
      <c r="I8" s="35" t="n">
        <f aca="false">IF(Assumptions!$B$45&gt;0,IF(COLUMN()-2&gt;=Assumptions!$B$45,1,0),IF(OR(H8=1,H7&gt;=Assumptions!$B$43),1,0))</f>
        <v>1</v>
      </c>
      <c r="J8" s="35" t="n">
        <f aca="false">IF(Assumptions!$B$45&gt;0,IF(COLUMN()-2&gt;=Assumptions!$B$45,1,0),IF(OR(I8=1,I7&gt;=Assumptions!$B$43),1,0))</f>
        <v>1</v>
      </c>
      <c r="K8" s="35" t="n">
        <f aca="false">IF(Assumptions!$B$45&gt;0,IF(COLUMN()-2&gt;=Assumptions!$B$45,1,0),IF(OR(J8=1,J7&gt;=Assumptions!$B$43),1,0))</f>
        <v>1</v>
      </c>
      <c r="L8" s="35" t="n">
        <f aca="false">IF(Assumptions!$B$45&gt;0,IF(COLUMN()-2&gt;=Assumptions!$B$45,1,0),IF(OR(K8=1,K7&gt;=Assumptions!$B$43),1,0))</f>
        <v>1</v>
      </c>
      <c r="M8" s="35" t="n">
        <f aca="false">IF(Assumptions!$B$45&gt;0,IF(COLUMN()-2&gt;=Assumptions!$B$45,1,0),IF(OR(L8=1,L7&gt;=Assumptions!$B$43),1,0))</f>
        <v>1</v>
      </c>
      <c r="N8" s="35" t="n">
        <f aca="false">IF(Assumptions!$B$45&gt;0,IF(COLUMN()-2&gt;=Assumptions!$B$45,1,0),IF(OR(M8=1,M7&gt;=Assumptions!$B$43),1,0))</f>
        <v>1</v>
      </c>
      <c r="O8" s="35" t="n">
        <f aca="false">IF(Assumptions!$B$45&gt;0,IF(COLUMN()-2&gt;=Assumptions!$B$45,1,0),IF(OR(N8=1,N7&gt;=Assumptions!$B$43),1,0))</f>
        <v>1</v>
      </c>
      <c r="P8" s="35" t="n">
        <f aca="false">IF(Assumptions!$B$45&gt;0,IF(COLUMN()-2&gt;=Assumptions!$B$45,1,0),IF(OR(O8=1,O7&gt;=Assumptions!$B$43),1,0))</f>
        <v>1</v>
      </c>
      <c r="Q8" s="35" t="n">
        <f aca="false">IF(Assumptions!$B$45&gt;0,IF(COLUMN()-2&gt;=Assumptions!$B$45,1,0),IF(OR(P8=1,P7&gt;=Assumptions!$B$43),1,0))</f>
        <v>1</v>
      </c>
      <c r="R8" s="35" t="n">
        <f aca="false">IF(Assumptions!$B$45&gt;0,IF(COLUMN()-2&gt;=Assumptions!$B$45,1,0),IF(OR(Q8=1,Q7&gt;=Assumptions!$B$43),1,0))</f>
        <v>1</v>
      </c>
      <c r="S8" s="35" t="n">
        <f aca="false">IF(Assumptions!$B$45&gt;0,IF(COLUMN()-2&gt;=Assumptions!$B$45,1,0),IF(OR(R8=1,R7&gt;=Assumptions!$B$43),1,0))</f>
        <v>1</v>
      </c>
      <c r="T8" s="35" t="n">
        <f aca="false">IF(Assumptions!$B$45&gt;0,IF(COLUMN()-2&gt;=Assumptions!$B$45,1,0),IF(OR(S8=1,S7&gt;=Assumptions!$B$43),1,0))</f>
        <v>1</v>
      </c>
      <c r="U8" s="35" t="n">
        <f aca="false">IF(Assumptions!$B$45&gt;0,IF(COLUMN()-2&gt;=Assumptions!$B$45,1,0),IF(OR(T8=1,T7&gt;=Assumptions!$B$43),1,0))</f>
        <v>1</v>
      </c>
      <c r="V8" s="35" t="n">
        <f aca="false">IF(Assumptions!$B$45&gt;0,IF(COLUMN()-2&gt;=Assumptions!$B$45,1,0),IF(OR(U8=1,U7&gt;=Assumptions!$B$43),1,0))</f>
        <v>1</v>
      </c>
      <c r="W8" s="35" t="n">
        <f aca="false">IF(Assumptions!$B$45&gt;0,IF(COLUMN()-2&gt;=Assumptions!$B$45,1,0),IF(OR(V8=1,V7&gt;=Assumptions!$B$43),1,0))</f>
        <v>1</v>
      </c>
      <c r="X8" s="35" t="n">
        <f aca="false">IF(Assumptions!$B$45&gt;0,IF(COLUMN()-2&gt;=Assumptions!$B$45,1,0),IF(OR(W8=1,W7&gt;=Assumptions!$B$43),1,0))</f>
        <v>1</v>
      </c>
      <c r="Y8" s="35" t="n">
        <f aca="false">IF(Assumptions!$B$45&gt;0,IF(COLUMN()-2&gt;=Assumptions!$B$45,1,0),IF(OR(X8=1,X7&gt;=Assumptions!$B$43),1,0))</f>
        <v>1</v>
      </c>
      <c r="Z8" s="35" t="n">
        <f aca="false">IF(Assumptions!$B$45&gt;0,IF(COLUMN()-2&gt;=Assumptions!$B$45,1,0),IF(OR(Y8=1,Y7&gt;=Assumptions!$B$43),1,0))</f>
        <v>1</v>
      </c>
      <c r="AA8" s="35" t="n">
        <f aca="false">IF(Assumptions!$B$45&gt;0,IF(COLUMN()-2&gt;=Assumptions!$B$45,1,0),IF(OR(Z8=1,Z7&gt;=Assumptions!$B$43),1,0))</f>
        <v>1</v>
      </c>
      <c r="AB8" s="35" t="n">
        <f aca="false">IF(Assumptions!$B$45&gt;0,IF(COLUMN()-2&gt;=Assumptions!$B$45,1,0),IF(OR(AA8=1,AA7&gt;=Assumptions!$B$43),1,0))</f>
        <v>1</v>
      </c>
      <c r="AC8" s="35" t="n">
        <f aca="false">IF(Assumptions!$B$45&gt;0,IF(COLUMN()-2&gt;=Assumptions!$B$45,1,0),IF(OR(AB8=1,AB7&gt;=Assumptions!$B$43),1,0))</f>
        <v>1</v>
      </c>
      <c r="AD8" s="35" t="n">
        <f aca="false">IF(Assumptions!$B$45&gt;0,IF(COLUMN()-2&gt;=Assumptions!$B$45,1,0),IF(OR(AC8=1,AC7&gt;=Assumptions!$B$43),1,0))</f>
        <v>1</v>
      </c>
      <c r="AE8" s="35" t="n">
        <f aca="false">IF(Assumptions!$B$45&gt;0,IF(COLUMN()-2&gt;=Assumptions!$B$45,1,0),IF(OR(AD8=1,AD7&gt;=Assumptions!$B$43),1,0))</f>
        <v>1</v>
      </c>
      <c r="AF8" s="35" t="n">
        <f aca="false">IF(Assumptions!$B$45&gt;0,IF(COLUMN()-2&gt;=Assumptions!$B$45,1,0),IF(OR(AE8=1,AE7&gt;=Assumptions!$B$43),1,0))</f>
        <v>1</v>
      </c>
      <c r="AG8" s="35" t="n">
        <f aca="false">IF(Assumptions!$B$45&gt;0,IF(COLUMN()-2&gt;=Assumptions!$B$45,1,0),IF(OR(AF8=1,AF7&gt;=Assumptions!$B$43),1,0))</f>
        <v>1</v>
      </c>
      <c r="AH8" s="35" t="n">
        <f aca="false">IF(Assumptions!$B$45&gt;0,IF(COLUMN()-2&gt;=Assumptions!$B$45,1,0),IF(OR(AG8=1,AG7&gt;=Assumptions!$B$43),1,0))</f>
        <v>1</v>
      </c>
      <c r="AI8" s="35" t="n">
        <f aca="false">IF(Assumptions!$B$45&gt;0,IF(COLUMN()-2&gt;=Assumptions!$B$45,1,0),IF(OR(AH8=1,AH7&gt;=Assumptions!$B$43),1,0))</f>
        <v>1</v>
      </c>
      <c r="AJ8" s="35" t="n">
        <f aca="false">IF(Assumptions!$B$45&gt;0,IF(COLUMN()-2&gt;=Assumptions!$B$45,1,0),IF(OR(AI8=1,AI7&gt;=Assumptions!$B$43),1,0))</f>
        <v>1</v>
      </c>
      <c r="AK8" s="35" t="n">
        <f aca="false">IF(Assumptions!$B$45&gt;0,IF(COLUMN()-2&gt;=Assumptions!$B$45,1,0),IF(OR(AJ8=1,AJ7&gt;=Assumptions!$B$43),1,0))</f>
        <v>1</v>
      </c>
      <c r="AL8" s="35" t="n">
        <f aca="false">IF(Assumptions!$B$45&gt;0,IF(COLUMN()-2&gt;=Assumptions!$B$45,1,0),IF(OR(AK8=1,AK7&gt;=Assumptions!$B$43),1,0))</f>
        <v>1</v>
      </c>
    </row>
    <row r="9" customFormat="false" ht="15" hidden="false" customHeight="false" outlineLevel="0" collapsed="false">
      <c r="A9" s="6" t="s">
        <v>537</v>
      </c>
      <c r="C9" s="22" t="n">
        <f aca="false">-C8*C5*Assumptions!$B$42/(1+Assumptions!$B$42)</f>
        <v>-0</v>
      </c>
      <c r="D9" s="22" t="n">
        <f aca="false">-D8*D5*Assumptions!$B$42/(1+Assumptions!$B$42)</f>
        <v>-0</v>
      </c>
      <c r="E9" s="22" t="n">
        <f aca="false">-E8*E5*Assumptions!$B$42/(1+Assumptions!$B$42)</f>
        <v>-0</v>
      </c>
      <c r="F9" s="22" t="n">
        <f aca="false">-F8*F5*Assumptions!$B$42/(1+Assumptions!$B$42)</f>
        <v>-0</v>
      </c>
      <c r="G9" s="22" t="n">
        <f aca="false">-G8*G5*Assumptions!$B$42/(1+Assumptions!$B$42)</f>
        <v>-0</v>
      </c>
      <c r="H9" s="22" t="n">
        <f aca="false">-H8*H5*Assumptions!$B$42/(1+Assumptions!$B$42)</f>
        <v>-3585.32968726903</v>
      </c>
      <c r="I9" s="22" t="n">
        <f aca="false">-I8*I5*Assumptions!$B$42/(1+Assumptions!$B$42)</f>
        <v>-4379.22411802145</v>
      </c>
      <c r="J9" s="22" t="n">
        <f aca="false">-J8*J5*Assumptions!$B$42/(1+Assumptions!$B$42)</f>
        <v>-4549.9541031295</v>
      </c>
      <c r="K9" s="22" t="n">
        <f aca="false">-K8*K5*Assumptions!$B$42/(1+Assumptions!$B$42)</f>
        <v>-5070.68055770905</v>
      </c>
      <c r="L9" s="22" t="n">
        <f aca="false">-L8*L5*Assumptions!$B$42/(1+Assumptions!$B$42)</f>
        <v>-5215.80104505089</v>
      </c>
      <c r="M9" s="22" t="n">
        <f aca="false">-M8*M5*Assumptions!$B$42/(1+Assumptions!$B$42)</f>
        <v>-5762.13699739665</v>
      </c>
      <c r="N9" s="22" t="n">
        <f aca="false">-N8*N5*Assumptions!$B$42/(1+Assumptions!$B$42)</f>
        <v>-6107.86521724045</v>
      </c>
      <c r="O9" s="22" t="n">
        <f aca="false">-O8*O5*Assumptions!$B$42/(1+Assumptions!$B$42)</f>
        <v>-6214.57145793298</v>
      </c>
      <c r="P9" s="22" t="n">
        <f aca="false">-P8*P5*Assumptions!$B$42/(1+Assumptions!$B$42)</f>
        <v>-6799.32165692804</v>
      </c>
      <c r="Q9" s="22" t="n">
        <f aca="false">-Q8*Q5*Assumptions!$B$42/(1+Assumptions!$B$42)</f>
        <v>-6880.41839985437</v>
      </c>
      <c r="R9" s="22" t="n">
        <f aca="false">-R8*R5*Assumptions!$B$42/(1+Assumptions!$B$42)</f>
        <v>-7490.77809661564</v>
      </c>
      <c r="S9" s="22" t="n">
        <f aca="false">-S8*S5*Assumptions!$B$42/(1+Assumptions!$B$42)</f>
        <v>-7836.50631645944</v>
      </c>
      <c r="T9" s="22" t="n">
        <f aca="false">-T8*T5*Assumptions!$B$42/(1+Assumptions!$B$42)</f>
        <v>-7576.14308916966</v>
      </c>
      <c r="U9" s="22" t="n">
        <f aca="false">-U8*U5*Assumptions!$B$42/(1+Assumptions!$B$42)</f>
        <v>-8527.96275614704</v>
      </c>
      <c r="V9" s="22" t="n">
        <f aca="false">-V8*V5*Assumptions!$B$42/(1+Assumptions!$B$42)</f>
        <v>-8545.03575465784</v>
      </c>
      <c r="W9" s="22" t="n">
        <f aca="false">-W8*W5*Assumptions!$B$42/(1+Assumptions!$B$42)</f>
        <v>-9219.41919583464</v>
      </c>
      <c r="X9" s="22" t="n">
        <f aca="false">-X8*X5*Assumptions!$B$42/(1+Assumptions!$B$42)</f>
        <v>-9210.88269657923</v>
      </c>
      <c r="Y9" s="22" t="n">
        <f aca="false">-Y8*Y5*Assumptions!$B$42/(1+Assumptions!$B$42)</f>
        <v>-9910.87563552223</v>
      </c>
      <c r="Z9" s="22" t="n">
        <f aca="false">-Z8*Z5*Assumptions!$B$42/(1+Assumptions!$B$42)</f>
        <v>-10256.603855366</v>
      </c>
      <c r="AA9" s="22" t="n">
        <f aca="false">-AA8*AA5*Assumptions!$B$42/(1+Assumptions!$B$42)</f>
        <v>-10209.6531094613</v>
      </c>
      <c r="AB9" s="22" t="n">
        <f aca="false">-AB8*AB5*Assumptions!$B$42/(1+Assumptions!$B$42)</f>
        <v>-10948.0602950536</v>
      </c>
      <c r="AC9" s="22" t="n">
        <f aca="false">-AC8*AC5*Assumptions!$B$42/(1+Assumptions!$B$42)</f>
        <v>-10875.5000513827</v>
      </c>
      <c r="AD9" s="22" t="n">
        <f aca="false">-AD8*AD5*Assumptions!$B$42/(1+Assumptions!$B$42)</f>
        <v>-11639.5167347412</v>
      </c>
      <c r="AE9" s="22" t="n">
        <f aca="false">-AE8*AE5*Assumptions!$B$42/(1+Assumptions!$B$42)</f>
        <v>-11985.244954585</v>
      </c>
      <c r="AF9" s="22" t="n">
        <f aca="false">-AF8*AF5*Assumptions!$B$42/(1+Assumptions!$B$42)</f>
        <v>-10960.8650439367</v>
      </c>
      <c r="AG9" s="22" t="n">
        <f aca="false">-AG8*AG5*Assumptions!$B$42/(1+Assumptions!$B$42)</f>
        <v>-12676.7013942726</v>
      </c>
      <c r="AH9" s="22" t="n">
        <f aca="false">-AH8*AH5*Assumptions!$B$42/(1+Assumptions!$B$42)</f>
        <v>-12540.1174061862</v>
      </c>
      <c r="AI9" s="22" t="n">
        <f aca="false">-AI8*AI5*Assumptions!$B$42/(1+Assumptions!$B$42)</f>
        <v>-13368.1578339602</v>
      </c>
      <c r="AJ9" s="22" t="n">
        <f aca="false">-AJ8*AJ5*Assumptions!$B$42/(1+Assumptions!$B$42)</f>
        <v>-13205.9643481076</v>
      </c>
      <c r="AK9" s="22" t="n">
        <f aca="false">-AK8*AK5*Assumptions!$B$42/(1+Assumptions!$B$42)</f>
        <v>-14059.6142736478</v>
      </c>
      <c r="AL9" s="22" t="n">
        <f aca="false">-AL8*AL5*Assumptions!$B$42/(1+Assumptions!$B$42)</f>
        <v>-14405.3424934916</v>
      </c>
      <c r="AM9" s="40" t="n">
        <f aca="false">SUM(C9:N9)</f>
        <v>-34670.991725817</v>
      </c>
      <c r="AN9" s="40" t="n">
        <f aca="false">SUM(O9:Z9)</f>
        <v>-98468.5189110672</v>
      </c>
      <c r="AO9" s="40" t="n">
        <f aca="false">SUM(AA9:AL9)</f>
        <v>-146874.737938827</v>
      </c>
    </row>
    <row r="10" customFormat="false" ht="15" hidden="false" customHeight="false" outlineLevel="0" collapsed="false">
      <c r="A10" s="20" t="s">
        <v>538</v>
      </c>
      <c r="C10" s="23" t="n">
        <f aca="false">C5+C9</f>
        <v>13316.9388384278</v>
      </c>
      <c r="D10" s="23" t="n">
        <f aca="false">D5+D9</f>
        <v>15903.4981128147</v>
      </c>
      <c r="E10" s="23" t="n">
        <f aca="false">E5+E9</f>
        <v>17312.0204899561</v>
      </c>
      <c r="F10" s="23" t="n">
        <f aca="false">F5+F9</f>
        <v>20052.2367509403</v>
      </c>
      <c r="G10" s="23" t="n">
        <f aca="false">G5+G9</f>
        <v>22126.6060700031</v>
      </c>
      <c r="H10" s="23" t="n">
        <f aca="false">H5+H9</f>
        <v>17926.6484363451</v>
      </c>
      <c r="I10" s="23" t="n">
        <f aca="false">I5+I9</f>
        <v>21896.1205901073</v>
      </c>
      <c r="J10" s="23" t="n">
        <f aca="false">J5+J9</f>
        <v>22749.7705156475</v>
      </c>
      <c r="K10" s="23" t="n">
        <f aca="false">K5+K9</f>
        <v>25353.4027885452</v>
      </c>
      <c r="L10" s="23" t="n">
        <f aca="false">L5+L9</f>
        <v>26079.0052252545</v>
      </c>
      <c r="M10" s="23" t="n">
        <f aca="false">M5+M9</f>
        <v>28810.6849869832</v>
      </c>
      <c r="N10" s="23" t="n">
        <f aca="false">N5+N9</f>
        <v>30539.3260862022</v>
      </c>
      <c r="O10" s="23" t="n">
        <f aca="false">O5+O9</f>
        <v>31072.8572896649</v>
      </c>
      <c r="P10" s="23" t="n">
        <f aca="false">P5+P9</f>
        <v>33996.6082846402</v>
      </c>
      <c r="Q10" s="23" t="n">
        <f aca="false">Q5+Q9</f>
        <v>34402.0919992718</v>
      </c>
      <c r="R10" s="23" t="n">
        <f aca="false">R5+R9</f>
        <v>37453.8904830782</v>
      </c>
      <c r="S10" s="23" t="n">
        <f aca="false">S5+S9</f>
        <v>39182.5315822972</v>
      </c>
      <c r="T10" s="23" t="n">
        <f aca="false">T5+T9</f>
        <v>37880.7154458483</v>
      </c>
      <c r="U10" s="23" t="n">
        <f aca="false">U5+U9</f>
        <v>42639.8137807352</v>
      </c>
      <c r="V10" s="23" t="n">
        <f aca="false">V5+V9</f>
        <v>42725.1787732892</v>
      </c>
      <c r="W10" s="23" t="n">
        <f aca="false">W5+W9</f>
        <v>46097.0959791732</v>
      </c>
      <c r="X10" s="23" t="n">
        <f aca="false">X5+X9</f>
        <v>46054.4134828962</v>
      </c>
      <c r="Y10" s="23" t="n">
        <f aca="false">Y5+Y9</f>
        <v>49554.3781776112</v>
      </c>
      <c r="Z10" s="23" t="n">
        <f aca="false">Z5+Z9</f>
        <v>51283.0192768302</v>
      </c>
      <c r="AA10" s="23" t="n">
        <f aca="false">AA5+AA9</f>
        <v>51048.2655473066</v>
      </c>
      <c r="AB10" s="23" t="n">
        <f aca="false">AB5+AB9</f>
        <v>54740.3014752682</v>
      </c>
      <c r="AC10" s="23" t="n">
        <f aca="false">AC5+AC9</f>
        <v>54377.5002569135</v>
      </c>
      <c r="AD10" s="23" t="n">
        <f aca="false">AD5+AD9</f>
        <v>58197.5836737061</v>
      </c>
      <c r="AE10" s="23" t="n">
        <f aca="false">AE5+AE9</f>
        <v>59926.2247729251</v>
      </c>
      <c r="AF10" s="23" t="n">
        <f aca="false">AF5+AF9</f>
        <v>54804.3252196837</v>
      </c>
      <c r="AG10" s="23" t="n">
        <f aca="false">AG5+AG9</f>
        <v>63383.5069713631</v>
      </c>
      <c r="AH10" s="23" t="n">
        <f aca="false">AH5+AH9</f>
        <v>62700.5870309309</v>
      </c>
      <c r="AI10" s="23" t="n">
        <f aca="false">AI5+AI9</f>
        <v>66840.7891698011</v>
      </c>
      <c r="AJ10" s="23" t="n">
        <f aca="false">AJ5+AJ9</f>
        <v>66029.8217405378</v>
      </c>
      <c r="AK10" s="23" t="n">
        <f aca="false">AK5+AK9</f>
        <v>70298.0713682391</v>
      </c>
      <c r="AL10" s="23" t="n">
        <f aca="false">AL5+AL9</f>
        <v>72026.7124674581</v>
      </c>
      <c r="AM10" s="39" t="n">
        <f aca="false">SUM(C10:N10)</f>
        <v>262066.258891227</v>
      </c>
      <c r="AN10" s="39" t="n">
        <f aca="false">SUM(O10:Z10)</f>
        <v>492342.594555336</v>
      </c>
      <c r="AO10" s="39" t="n">
        <f aca="false">SUM(AA10:AL10)</f>
        <v>734373.689694133</v>
      </c>
    </row>
    <row r="11" customFormat="false" ht="15" hidden="false" customHeight="false" outlineLevel="0" collapsed="false">
      <c r="A11" s="6" t="s">
        <v>539</v>
      </c>
      <c r="C11" s="22" t="n">
        <f aca="false">-Volumes!C$115</f>
        <v>-995.21685980323</v>
      </c>
      <c r="D11" s="22" t="n">
        <f aca="false">-Volumes!D$115</f>
        <v>-1188.51859603424</v>
      </c>
      <c r="E11" s="22" t="n">
        <f aca="false">-Volumes!E$115</f>
        <v>-1293.7819177442</v>
      </c>
      <c r="F11" s="22" t="n">
        <f aca="false">-Volumes!F$115</f>
        <v>-1498.56692543448</v>
      </c>
      <c r="G11" s="22" t="n">
        <f aca="false">-Volumes!G$115</f>
        <v>-1653.5910901346</v>
      </c>
      <c r="H11" s="22" t="n">
        <f aca="false">-Volumes!H$115</f>
        <v>-1607.65800429753</v>
      </c>
      <c r="I11" s="22" t="n">
        <f aca="false">-Volumes!I$115</f>
        <v>-1963.63941953483</v>
      </c>
      <c r="J11" s="22" t="n">
        <f aca="false">-Volumes!J$115</f>
        <v>-2040.19456259662</v>
      </c>
      <c r="K11" s="22" t="n">
        <f aca="false">-Volumes!K$115</f>
        <v>-2273.68774893507</v>
      </c>
      <c r="L11" s="22" t="n">
        <f aca="false">-Volumes!L$115</f>
        <v>-2338.75962053759</v>
      </c>
      <c r="M11" s="22" t="n">
        <f aca="false">-Volumes!M$115</f>
        <v>-2583.73607833531</v>
      </c>
      <c r="N11" s="22" t="n">
        <f aca="false">-Volumes!N$115</f>
        <v>-2738.76024303543</v>
      </c>
      <c r="O11" s="22" t="n">
        <f aca="false">-Volumes!O$115</f>
        <v>-2786.60720744904</v>
      </c>
      <c r="P11" s="22" t="n">
        <f aca="false">-Volumes!P$115</f>
        <v>-3048.80857243566</v>
      </c>
      <c r="Q11" s="22" t="n">
        <f aca="false">-Volumes!Q$115</f>
        <v>-3085.17226539001</v>
      </c>
      <c r="R11" s="22" t="n">
        <f aca="false">-Volumes!R$115</f>
        <v>-3358.8569018359</v>
      </c>
      <c r="S11" s="22" t="n">
        <f aca="false">-Volumes!S$115</f>
        <v>-3513.88106653602</v>
      </c>
      <c r="T11" s="22" t="n">
        <f aca="false">-Volumes!T$115</f>
        <v>-3397.13447336679</v>
      </c>
      <c r="U11" s="22" t="n">
        <f aca="false">-Volumes!U$115</f>
        <v>-3823.92939593626</v>
      </c>
      <c r="V11" s="22" t="n">
        <f aca="false">-Volumes!V$115</f>
        <v>-3831.58491024244</v>
      </c>
      <c r="W11" s="22" t="n">
        <f aca="false">-Volumes!W$115</f>
        <v>-4133.9777253365</v>
      </c>
      <c r="X11" s="22" t="n">
        <f aca="false">-Volumes!X$115</f>
        <v>-4130.14996818341</v>
      </c>
      <c r="Y11" s="22" t="n">
        <f aca="false">-Volumes!Y$115</f>
        <v>-4444.02605473673</v>
      </c>
      <c r="Z11" s="22" t="n">
        <f aca="false">-Volumes!Z$115</f>
        <v>-4599.05021943685</v>
      </c>
      <c r="AA11" s="22" t="n">
        <f aca="false">-Volumes!AA$115</f>
        <v>-4577.99755509486</v>
      </c>
      <c r="AB11" s="22" t="n">
        <f aca="false">-Volumes!AB$115</f>
        <v>-4909.09854883709</v>
      </c>
      <c r="AC11" s="22" t="n">
        <f aca="false">-Volumes!AC$115</f>
        <v>-4876.56261303583</v>
      </c>
      <c r="AD11" s="22" t="n">
        <f aca="false">-Volumes!AD$115</f>
        <v>-5219.14687823733</v>
      </c>
      <c r="AE11" s="22" t="n">
        <f aca="false">-Volumes!AE$115</f>
        <v>-5374.17104293744</v>
      </c>
      <c r="AF11" s="22" t="n">
        <f aca="false">-Volumes!AF$115</f>
        <v>-4914.84018456672</v>
      </c>
      <c r="AG11" s="22" t="n">
        <f aca="false">-Volumes!AG$115</f>
        <v>-5684.21937233768</v>
      </c>
      <c r="AH11" s="22" t="n">
        <f aca="false">-Volumes!AH$115</f>
        <v>-5622.97525788825</v>
      </c>
      <c r="AI11" s="22" t="n">
        <f aca="false">-Volumes!AI$115</f>
        <v>-5994.26770173792</v>
      </c>
      <c r="AJ11" s="22" t="n">
        <f aca="false">-Volumes!AJ$115</f>
        <v>-5921.54031582922</v>
      </c>
      <c r="AK11" s="22" t="n">
        <f aca="false">-Volumes!AK$115</f>
        <v>-6304.31603113815</v>
      </c>
      <c r="AL11" s="22" t="n">
        <f aca="false">-Volumes!AL$115</f>
        <v>-6459.34019583827</v>
      </c>
      <c r="AM11" s="40" t="n">
        <f aca="false">SUM(C11:N11)</f>
        <v>-22176.1110664231</v>
      </c>
      <c r="AN11" s="40" t="n">
        <f aca="false">SUM(O11:Z11)</f>
        <v>-44153.1787608856</v>
      </c>
      <c r="AO11" s="40" t="n">
        <f aca="false">SUM(AA11:AL11)</f>
        <v>-65858.4756974788</v>
      </c>
    </row>
    <row r="12" customFormat="false" ht="15" hidden="false" customHeight="false" outlineLevel="0" collapsed="false">
      <c r="A12" s="6" t="s">
        <v>540</v>
      </c>
      <c r="C12" s="22" t="n">
        <f aca="false">-C5*Assumptions!$B$34*Assumptions!$B$35</f>
        <v>-215.068562240609</v>
      </c>
      <c r="D12" s="22" t="n">
        <f aca="false">-D5*Assumptions!$B$34*Assumptions!$B$35</f>
        <v>-256.841494521958</v>
      </c>
      <c r="E12" s="22" t="n">
        <f aca="false">-E5*Assumptions!$B$34*Assumptions!$B$35</f>
        <v>-279.589130912792</v>
      </c>
      <c r="F12" s="22" t="n">
        <f aca="false">-F5*Assumptions!$B$34*Assumptions!$B$35</f>
        <v>-323.843623527686</v>
      </c>
      <c r="G12" s="22" t="n">
        <f aca="false">-G5*Assumptions!$B$34*Assumptions!$B$35</f>
        <v>-357.34468803055</v>
      </c>
      <c r="H12" s="22" t="n">
        <f aca="false">-H5*Assumptions!$B$34*Assumptions!$B$35</f>
        <v>-347.418446696369</v>
      </c>
      <c r="I12" s="22" t="n">
        <f aca="false">-I5*Assumptions!$B$34*Assumptions!$B$35</f>
        <v>-424.346817036279</v>
      </c>
      <c r="J12" s="22" t="n">
        <f aca="false">-J5*Assumptions!$B$34*Assumptions!$B$35</f>
        <v>-440.890552593248</v>
      </c>
      <c r="K12" s="22" t="n">
        <f aca="false">-K5*Assumptions!$B$34*Assumptions!$B$35</f>
        <v>-491.348946042007</v>
      </c>
      <c r="L12" s="22" t="n">
        <f aca="false">-L5*Assumptions!$B$34*Assumptions!$B$35</f>
        <v>-505.411121265431</v>
      </c>
      <c r="M12" s="22" t="n">
        <f aca="false">-M5*Assumptions!$B$34*Assumptions!$B$35</f>
        <v>-558.351075047735</v>
      </c>
      <c r="N12" s="22" t="n">
        <f aca="false">-N5*Assumptions!$B$34*Assumptions!$B$35</f>
        <v>-591.852139550599</v>
      </c>
      <c r="O12" s="22" t="n">
        <f aca="false">-O5*Assumptions!$B$34*Assumptions!$B$35</f>
        <v>-602.191974273706</v>
      </c>
      <c r="P12" s="22" t="n">
        <f aca="false">-P5*Assumptions!$B$34*Assumptions!$B$35</f>
        <v>-658.854268556327</v>
      </c>
      <c r="Q12" s="22" t="n">
        <f aca="false">-Q5*Assumptions!$B$34*Assumptions!$B$35</f>
        <v>-666.712542945888</v>
      </c>
      <c r="R12" s="22" t="n">
        <f aca="false">-R5*Assumptions!$B$34*Assumptions!$B$35</f>
        <v>-725.856397562056</v>
      </c>
      <c r="S12" s="22" t="n">
        <f aca="false">-S5*Assumptions!$B$34*Assumptions!$B$35</f>
        <v>-759.35746206492</v>
      </c>
      <c r="T12" s="22" t="n">
        <f aca="false">-T5*Assumptions!$B$34*Assumptions!$B$35</f>
        <v>-734.12826534054</v>
      </c>
      <c r="U12" s="22" t="n">
        <f aca="false">-U5*Assumptions!$B$34*Assumptions!$B$35</f>
        <v>-826.359591070648</v>
      </c>
      <c r="V12" s="22" t="n">
        <f aca="false">-V5*Assumptions!$B$34*Assumptions!$B$35</f>
        <v>-828.013964626345</v>
      </c>
      <c r="W12" s="22" t="n">
        <f aca="false">-W5*Assumptions!$B$34*Assumptions!$B$35</f>
        <v>-893.361720076376</v>
      </c>
      <c r="X12" s="22" t="n">
        <f aca="false">-X5*Assumptions!$B$34*Assumptions!$B$35</f>
        <v>-892.534533298528</v>
      </c>
      <c r="Y12" s="22" t="n">
        <f aca="false">-Y5*Assumptions!$B$34*Assumptions!$B$35</f>
        <v>-960.363849082104</v>
      </c>
      <c r="Z12" s="22" t="n">
        <f aca="false">-Z5*Assumptions!$B$34*Assumptions!$B$35</f>
        <v>-993.864913584969</v>
      </c>
      <c r="AA12" s="22" t="n">
        <f aca="false">-AA5*Assumptions!$B$34*Assumptions!$B$35</f>
        <v>-989.315386306802</v>
      </c>
      <c r="AB12" s="22" t="n">
        <f aca="false">-AB5*Assumptions!$B$34*Assumptions!$B$35</f>
        <v>-1060.8670425907</v>
      </c>
      <c r="AC12" s="22" t="n">
        <f aca="false">-AC5*Assumptions!$B$34*Assumptions!$B$35</f>
        <v>-1053.83595497898</v>
      </c>
      <c r="AD12" s="22" t="n">
        <f aca="false">-AD5*Assumptions!$B$34*Assumptions!$B$35</f>
        <v>-1127.86917159642</v>
      </c>
      <c r="AE12" s="22" t="n">
        <f aca="false">-AE5*Assumptions!$B$34*Assumptions!$B$35</f>
        <v>-1161.37023609929</v>
      </c>
      <c r="AF12" s="22" t="n">
        <f aca="false">-AF5*Assumptions!$B$34*Assumptions!$B$35</f>
        <v>-1062.10782275747</v>
      </c>
      <c r="AG12" s="22" t="n">
        <f aca="false">-AG5*Assumptions!$B$34*Assumptions!$B$35</f>
        <v>-1228.37236510502</v>
      </c>
      <c r="AH12" s="22" t="n">
        <f aca="false">-AH5*Assumptions!$B$34*Assumptions!$B$35</f>
        <v>-1215.13737665944</v>
      </c>
      <c r="AI12" s="22" t="n">
        <f aca="false">-AI5*Assumptions!$B$34*Assumptions!$B$35</f>
        <v>-1295.37449411075</v>
      </c>
      <c r="AJ12" s="22" t="n">
        <f aca="false">-AJ5*Assumptions!$B$34*Assumptions!$B$35</f>
        <v>-1279.65794533162</v>
      </c>
      <c r="AK12" s="22" t="n">
        <f aca="false">-AK5*Assumptions!$B$34*Assumptions!$B$35</f>
        <v>-1362.37662311647</v>
      </c>
      <c r="AL12" s="22" t="n">
        <f aca="false">-AL5*Assumptions!$B$34*Assumptions!$B$35</f>
        <v>-1395.87768761934</v>
      </c>
      <c r="AM12" s="40" t="n">
        <f aca="false">SUM(C12:N12)</f>
        <v>-4792.30659746526</v>
      </c>
      <c r="AN12" s="40" t="n">
        <f aca="false">SUM(O12:Z12)</f>
        <v>-9541.59948248241</v>
      </c>
      <c r="AO12" s="40" t="n">
        <f aca="false">SUM(AA12:AL12)</f>
        <v>-14232.1621062723</v>
      </c>
    </row>
    <row r="13" customFormat="false" ht="15" hidden="false" customHeight="false" outlineLevel="0" collapsed="false">
      <c r="A13" s="20" t="s">
        <v>541</v>
      </c>
      <c r="C13" s="23" t="n">
        <f aca="false">C10+C11+C12</f>
        <v>12106.653416384</v>
      </c>
      <c r="D13" s="23" t="n">
        <f aca="false">D10+D11+D12</f>
        <v>14458.1380222585</v>
      </c>
      <c r="E13" s="23" t="n">
        <f aca="false">E10+E11+E12</f>
        <v>15738.6494412992</v>
      </c>
      <c r="F13" s="23" t="n">
        <f aca="false">F10+F11+F12</f>
        <v>18229.8262019782</v>
      </c>
      <c r="G13" s="23" t="n">
        <f aca="false">G10+G11+G12</f>
        <v>20115.670291838</v>
      </c>
      <c r="H13" s="23" t="n">
        <f aca="false">H10+H11+H12</f>
        <v>15971.5719853512</v>
      </c>
      <c r="I13" s="23" t="n">
        <f aca="false">I10+I11+I12</f>
        <v>19508.1343535362</v>
      </c>
      <c r="J13" s="23" t="n">
        <f aca="false">J10+J11+J12</f>
        <v>20268.6854004576</v>
      </c>
      <c r="K13" s="23" t="n">
        <f aca="false">K10+K11+K12</f>
        <v>22588.3660935682</v>
      </c>
      <c r="L13" s="23" t="n">
        <f aca="false">L10+L11+L12</f>
        <v>23234.8344834514</v>
      </c>
      <c r="M13" s="23" t="n">
        <f aca="false">M10+M11+M12</f>
        <v>25668.5978336002</v>
      </c>
      <c r="N13" s="23" t="n">
        <f aca="false">N10+N11+N12</f>
        <v>27208.7137036162</v>
      </c>
      <c r="O13" s="23" t="n">
        <f aca="false">O10+O11+O12</f>
        <v>27684.0581079421</v>
      </c>
      <c r="P13" s="23" t="n">
        <f aca="false">P10+P11+P12</f>
        <v>30288.9454436482</v>
      </c>
      <c r="Q13" s="23" t="n">
        <f aca="false">Q10+Q11+Q12</f>
        <v>30650.2071909359</v>
      </c>
      <c r="R13" s="23" t="n">
        <f aca="false">R10+R11+R12</f>
        <v>33369.1771836802</v>
      </c>
      <c r="S13" s="23" t="n">
        <f aca="false">S10+S11+S12</f>
        <v>34909.2930536963</v>
      </c>
      <c r="T13" s="23" t="n">
        <f aca="false">T10+T11+T12</f>
        <v>33749.452707141</v>
      </c>
      <c r="U13" s="23" t="n">
        <f aca="false">U10+U11+U12</f>
        <v>37989.5247937283</v>
      </c>
      <c r="V13" s="23" t="n">
        <f aca="false">V10+V11+V12</f>
        <v>38065.5798984204</v>
      </c>
      <c r="W13" s="23" t="n">
        <f aca="false">W10+W11+W12</f>
        <v>41069.7565337603</v>
      </c>
      <c r="X13" s="23" t="n">
        <f aca="false">X10+X11+X12</f>
        <v>41031.7289814142</v>
      </c>
      <c r="Y13" s="23" t="n">
        <f aca="false">Y10+Y11+Y12</f>
        <v>44149.9882737923</v>
      </c>
      <c r="Z13" s="23" t="n">
        <f aca="false">Z10+Z11+Z12</f>
        <v>45690.1041438083</v>
      </c>
      <c r="AA13" s="23" t="n">
        <f aca="false">AA10+AA11+AA12</f>
        <v>45480.9526059049</v>
      </c>
      <c r="AB13" s="23" t="n">
        <f aca="false">AB10+AB11+AB12</f>
        <v>48770.3358838404</v>
      </c>
      <c r="AC13" s="23" t="n">
        <f aca="false">AC10+AC11+AC12</f>
        <v>48447.1016888987</v>
      </c>
      <c r="AD13" s="23" t="n">
        <f aca="false">AD10+AD11+AD12</f>
        <v>51850.5676238724</v>
      </c>
      <c r="AE13" s="23" t="n">
        <f aca="false">AE10+AE11+AE12</f>
        <v>53390.6834938884</v>
      </c>
      <c r="AF13" s="23" t="n">
        <f aca="false">AF10+AF11+AF12</f>
        <v>48827.3772123595</v>
      </c>
      <c r="AG13" s="23" t="n">
        <f aca="false">AG10+AG11+AG12</f>
        <v>56470.9152339204</v>
      </c>
      <c r="AH13" s="23" t="n">
        <f aca="false">AH10+AH11+AH12</f>
        <v>55862.4743963832</v>
      </c>
      <c r="AI13" s="23" t="n">
        <f aca="false">AI10+AI11+AI12</f>
        <v>59551.1469739525</v>
      </c>
      <c r="AJ13" s="23" t="n">
        <f aca="false">AJ10+AJ11+AJ12</f>
        <v>58828.623479377</v>
      </c>
      <c r="AK13" s="23" t="n">
        <f aca="false">AK10+AK11+AK12</f>
        <v>62631.3787139845</v>
      </c>
      <c r="AL13" s="23" t="n">
        <f aca="false">AL10+AL11+AL12</f>
        <v>64171.4945840005</v>
      </c>
      <c r="AM13" s="39" t="n">
        <f aca="false">SUM(C13:N13)</f>
        <v>235097.841227339</v>
      </c>
      <c r="AN13" s="39" t="n">
        <f aca="false">SUM(O13:Z13)</f>
        <v>438647.816311968</v>
      </c>
      <c r="AO13" s="39" t="n">
        <f aca="false">SUM(AA13:AL13)</f>
        <v>654283.051890382</v>
      </c>
    </row>
    <row r="14" customFormat="false" ht="15" hidden="false" customHeight="false" outlineLevel="0" collapsed="false">
      <c r="A14" s="6" t="s">
        <v>542</v>
      </c>
      <c r="C14" s="41" t="n">
        <f aca="false">IF(C10=0,0,C13/C10)</f>
        <v>0.909116844589584</v>
      </c>
      <c r="D14" s="41" t="n">
        <f aca="false">IF(D10=0,0,D13/D10)</f>
        <v>0.909116844589584</v>
      </c>
      <c r="E14" s="41" t="n">
        <f aca="false">IF(E10=0,0,E13/E10)</f>
        <v>0.909116844589584</v>
      </c>
      <c r="F14" s="41" t="n">
        <f aca="false">IF(F10=0,0,F13/F10)</f>
        <v>0.909116844589584</v>
      </c>
      <c r="G14" s="41" t="n">
        <f aca="false">IF(G10=0,0,G13/G10)</f>
        <v>0.909116844589584</v>
      </c>
      <c r="H14" s="41" t="n">
        <f aca="false">IF(H10=0,0,H13/H10)</f>
        <v>0.890940213507501</v>
      </c>
      <c r="I14" s="41" t="n">
        <f aca="false">IF(I10=0,0,I13/I10)</f>
        <v>0.890940213507501</v>
      </c>
      <c r="J14" s="41" t="n">
        <f aca="false">IF(J10=0,0,J13/J10)</f>
        <v>0.890940213507501</v>
      </c>
      <c r="K14" s="41" t="n">
        <f aca="false">IF(K10=0,0,K13/K10)</f>
        <v>0.890940213507501</v>
      </c>
      <c r="L14" s="41" t="n">
        <f aca="false">IF(L10=0,0,L13/L10)</f>
        <v>0.890940213507501</v>
      </c>
      <c r="M14" s="41" t="n">
        <f aca="false">IF(M10=0,0,M13/M10)</f>
        <v>0.890940213507501</v>
      </c>
      <c r="N14" s="41" t="n">
        <f aca="false">IF(N10=0,0,N13/N10)</f>
        <v>0.890940213507501</v>
      </c>
      <c r="O14" s="41" t="n">
        <f aca="false">IF(O10=0,0,O13/O10)</f>
        <v>0.890940213507501</v>
      </c>
      <c r="P14" s="41" t="n">
        <f aca="false">IF(P10=0,0,P13/P10)</f>
        <v>0.890940213507501</v>
      </c>
      <c r="Q14" s="41" t="n">
        <f aca="false">IF(Q10=0,0,Q13/Q10)</f>
        <v>0.890940213507501</v>
      </c>
      <c r="R14" s="41" t="n">
        <f aca="false">IF(R10=0,0,R13/R10)</f>
        <v>0.890940213507501</v>
      </c>
      <c r="S14" s="41" t="n">
        <f aca="false">IF(S10=0,0,S13/S10)</f>
        <v>0.890940213507501</v>
      </c>
      <c r="T14" s="41" t="n">
        <f aca="false">IF(T10=0,0,T13/T10)</f>
        <v>0.890940213507501</v>
      </c>
      <c r="U14" s="41" t="n">
        <f aca="false">IF(U10=0,0,U13/U10)</f>
        <v>0.890940213507501</v>
      </c>
      <c r="V14" s="41" t="n">
        <f aca="false">IF(V10=0,0,V13/V10)</f>
        <v>0.890940213507501</v>
      </c>
      <c r="W14" s="41" t="n">
        <f aca="false">IF(W10=0,0,W13/W10)</f>
        <v>0.890940213507501</v>
      </c>
      <c r="X14" s="41" t="n">
        <f aca="false">IF(X10=0,0,X13/X10)</f>
        <v>0.890940213507501</v>
      </c>
      <c r="Y14" s="41" t="n">
        <f aca="false">IF(Y10=0,0,Y13/Y10)</f>
        <v>0.890940213507501</v>
      </c>
      <c r="Z14" s="41" t="n">
        <f aca="false">IF(Z10=0,0,Z13/Z10)</f>
        <v>0.890940213507501</v>
      </c>
      <c r="AA14" s="41" t="n">
        <f aca="false">IF(AA10=0,0,AA13/AA10)</f>
        <v>0.890940213507501</v>
      </c>
      <c r="AB14" s="41" t="n">
        <f aca="false">IF(AB10=0,0,AB13/AB10)</f>
        <v>0.890940213507501</v>
      </c>
      <c r="AC14" s="41" t="n">
        <f aca="false">IF(AC10=0,0,AC13/AC10)</f>
        <v>0.890940213507501</v>
      </c>
      <c r="AD14" s="41" t="n">
        <f aca="false">IF(AD10=0,0,AD13/AD10)</f>
        <v>0.890940213507501</v>
      </c>
      <c r="AE14" s="41" t="n">
        <f aca="false">IF(AE10=0,0,AE13/AE10)</f>
        <v>0.890940213507501</v>
      </c>
      <c r="AF14" s="41" t="n">
        <f aca="false">IF(AF10=0,0,AF13/AF10)</f>
        <v>0.890940213507501</v>
      </c>
      <c r="AG14" s="41" t="n">
        <f aca="false">IF(AG10=0,0,AG13/AG10)</f>
        <v>0.890940213507501</v>
      </c>
      <c r="AH14" s="41" t="n">
        <f aca="false">IF(AH10=0,0,AH13/AH10)</f>
        <v>0.890940213507501</v>
      </c>
      <c r="AI14" s="41" t="n">
        <f aca="false">IF(AI10=0,0,AI13/AI10)</f>
        <v>0.890940213507501</v>
      </c>
      <c r="AJ14" s="41" t="n">
        <f aca="false">IF(AJ10=0,0,AJ13/AJ10)</f>
        <v>0.890940213507501</v>
      </c>
      <c r="AK14" s="41" t="n">
        <f aca="false">IF(AK10=0,0,AK13/AK10)</f>
        <v>0.890940213507501</v>
      </c>
      <c r="AL14" s="41" t="n">
        <f aca="false">IF(AL10=0,0,AL13/AL10)</f>
        <v>0.890940213507501</v>
      </c>
      <c r="AM14" s="42" t="n">
        <f aca="false">IF(SUM(C10:N10)=0,0,SUM(C13:N13)/SUM(C10:N10))</f>
        <v>0.897093132942834</v>
      </c>
      <c r="AN14" s="42" t="n">
        <f aca="false">IF(SUM(O10:Z10)=0,0,SUM(O13:Z13)/SUM(O10:Z10))</f>
        <v>0.890940213507501</v>
      </c>
      <c r="AO14" s="42" t="n">
        <f aca="false">IF(SUM(AA10:AL10)=0,0,SUM(AA13:AL13)/SUM(AA10:AL10))</f>
        <v>0.890940213507501</v>
      </c>
    </row>
    <row r="15" customFormat="false" ht="15" hidden="false" customHeight="false" outlineLevel="0" collapsed="false">
      <c r="A15" s="6" t="s">
        <v>543</v>
      </c>
      <c r="C15" s="22" t="n">
        <f aca="false">-(Assumptions!$B$16*Assumptions!$B$12+Assumptions!$B$17*Assumptions!$B$13+Assumptions!$B$14)*Assumptions!$B$15/12</f>
        <v>-15176.6666666667</v>
      </c>
      <c r="D15" s="22" t="n">
        <f aca="false">-(Assumptions!$B$16*Assumptions!$B$12+Assumptions!$B$17*Assumptions!$B$13+Assumptions!$B$14)*Assumptions!$B$15/12</f>
        <v>-15176.6666666667</v>
      </c>
      <c r="E15" s="22" t="n">
        <f aca="false">-(Assumptions!$B$16*Assumptions!$B$12+Assumptions!$B$17*Assumptions!$B$13+Assumptions!$B$14)*Assumptions!$B$15/12</f>
        <v>-15176.6666666667</v>
      </c>
      <c r="F15" s="22" t="n">
        <f aca="false">-(Assumptions!$B$16*Assumptions!$B$12+Assumptions!$B$17*Assumptions!$B$13+Assumptions!$B$14)*Assumptions!$B$15/12</f>
        <v>-15176.6666666667</v>
      </c>
      <c r="G15" s="22" t="n">
        <f aca="false">-(Assumptions!$B$16*Assumptions!$B$12+Assumptions!$B$17*Assumptions!$B$13+Assumptions!$B$14)*Assumptions!$B$15/12</f>
        <v>-15176.6666666667</v>
      </c>
      <c r="H15" s="22" t="n">
        <f aca="false">-(Assumptions!$B$16*Assumptions!$B$12+Assumptions!$B$17*Assumptions!$B$13+Assumptions!$B$14)*Assumptions!$B$15/12</f>
        <v>-15176.6666666667</v>
      </c>
      <c r="I15" s="22" t="n">
        <f aca="false">-(Assumptions!$B$16*Assumptions!$B$12+Assumptions!$B$17*Assumptions!$B$13+Assumptions!$B$14)*Assumptions!$B$15/12</f>
        <v>-15176.6666666667</v>
      </c>
      <c r="J15" s="22" t="n">
        <f aca="false">-(Assumptions!$B$16*Assumptions!$B$12+Assumptions!$B$17*Assumptions!$B$13+Assumptions!$B$14)*Assumptions!$B$15/12</f>
        <v>-15176.6666666667</v>
      </c>
      <c r="K15" s="22" t="n">
        <f aca="false">-(Assumptions!$B$16*Assumptions!$B$12+Assumptions!$B$17*Assumptions!$B$13+Assumptions!$B$14)*Assumptions!$B$15/12</f>
        <v>-15176.6666666667</v>
      </c>
      <c r="L15" s="22" t="n">
        <f aca="false">-(Assumptions!$B$16*Assumptions!$B$12+Assumptions!$B$17*Assumptions!$B$13+Assumptions!$B$14)*Assumptions!$B$15/12</f>
        <v>-15176.6666666667</v>
      </c>
      <c r="M15" s="22" t="n">
        <f aca="false">-(Assumptions!$B$16*Assumptions!$B$12+Assumptions!$B$17*Assumptions!$B$13+Assumptions!$B$14)*Assumptions!$B$15/12</f>
        <v>-15176.6666666667</v>
      </c>
      <c r="N15" s="22" t="n">
        <f aca="false">-(Assumptions!$B$16*Assumptions!$B$12+Assumptions!$B$17*Assumptions!$B$13+Assumptions!$B$14)*Assumptions!$B$15/12</f>
        <v>-15176.6666666667</v>
      </c>
      <c r="O15" s="22" t="n">
        <f aca="false">-(Assumptions!$C$16*Assumptions!$B$12+Assumptions!$C$17*Assumptions!$B$13+Assumptions!$B$14)*Assumptions!$B$15/12</f>
        <v>-19140</v>
      </c>
      <c r="P15" s="22" t="n">
        <f aca="false">-(Assumptions!$C$16*Assumptions!$B$12+Assumptions!$C$17*Assumptions!$B$13+Assumptions!$B$14)*Assumptions!$B$15/12</f>
        <v>-19140</v>
      </c>
      <c r="Q15" s="22" t="n">
        <f aca="false">-(Assumptions!$C$16*Assumptions!$B$12+Assumptions!$C$17*Assumptions!$B$13+Assumptions!$B$14)*Assumptions!$B$15/12</f>
        <v>-19140</v>
      </c>
      <c r="R15" s="22" t="n">
        <f aca="false">-(Assumptions!$C$16*Assumptions!$B$12+Assumptions!$C$17*Assumptions!$B$13+Assumptions!$B$14)*Assumptions!$B$15/12</f>
        <v>-19140</v>
      </c>
      <c r="S15" s="22" t="n">
        <f aca="false">-(Assumptions!$C$16*Assumptions!$B$12+Assumptions!$C$17*Assumptions!$B$13+Assumptions!$B$14)*Assumptions!$B$15/12</f>
        <v>-19140</v>
      </c>
      <c r="T15" s="22" t="n">
        <f aca="false">-(Assumptions!$C$16*Assumptions!$B$12+Assumptions!$C$17*Assumptions!$B$13+Assumptions!$B$14)*Assumptions!$B$15/12</f>
        <v>-19140</v>
      </c>
      <c r="U15" s="22" t="n">
        <f aca="false">-(Assumptions!$C$16*Assumptions!$B$12+Assumptions!$C$17*Assumptions!$B$13+Assumptions!$B$14)*Assumptions!$B$15/12</f>
        <v>-19140</v>
      </c>
      <c r="V15" s="22" t="n">
        <f aca="false">-(Assumptions!$C$16*Assumptions!$B$12+Assumptions!$C$17*Assumptions!$B$13+Assumptions!$B$14)*Assumptions!$B$15/12</f>
        <v>-19140</v>
      </c>
      <c r="W15" s="22" t="n">
        <f aca="false">-(Assumptions!$C$16*Assumptions!$B$12+Assumptions!$C$17*Assumptions!$B$13+Assumptions!$B$14)*Assumptions!$B$15/12</f>
        <v>-19140</v>
      </c>
      <c r="X15" s="22" t="n">
        <f aca="false">-(Assumptions!$C$16*Assumptions!$B$12+Assumptions!$C$17*Assumptions!$B$13+Assumptions!$B$14)*Assumptions!$B$15/12</f>
        <v>-19140</v>
      </c>
      <c r="Y15" s="22" t="n">
        <f aca="false">-(Assumptions!$C$16*Assumptions!$B$12+Assumptions!$C$17*Assumptions!$B$13+Assumptions!$B$14)*Assumptions!$B$15/12</f>
        <v>-19140</v>
      </c>
      <c r="Z15" s="22" t="n">
        <f aca="false">-(Assumptions!$C$16*Assumptions!$B$12+Assumptions!$C$17*Assumptions!$B$13+Assumptions!$B$14)*Assumptions!$B$15/12</f>
        <v>-19140</v>
      </c>
      <c r="AA15" s="22" t="n">
        <f aca="false">-(Assumptions!$E$16*Assumptions!$B$12+Assumptions!$E$17*Assumptions!$B$13+Assumptions!$B$14)*Assumptions!$B$15/12</f>
        <v>-29676.6666666667</v>
      </c>
      <c r="AB15" s="22" t="n">
        <f aca="false">-(Assumptions!$E$16*Assumptions!$B$12+Assumptions!$E$17*Assumptions!$B$13+Assumptions!$B$14)*Assumptions!$B$15/12</f>
        <v>-29676.6666666667</v>
      </c>
      <c r="AC15" s="22" t="n">
        <f aca="false">-(Assumptions!$E$16*Assumptions!$B$12+Assumptions!$E$17*Assumptions!$B$13+Assumptions!$B$14)*Assumptions!$B$15/12</f>
        <v>-29676.6666666667</v>
      </c>
      <c r="AD15" s="22" t="n">
        <f aca="false">-(Assumptions!$E$16*Assumptions!$B$12+Assumptions!$E$17*Assumptions!$B$13+Assumptions!$B$14)*Assumptions!$B$15/12</f>
        <v>-29676.6666666667</v>
      </c>
      <c r="AE15" s="22" t="n">
        <f aca="false">-(Assumptions!$E$16*Assumptions!$B$12+Assumptions!$E$17*Assumptions!$B$13+Assumptions!$B$14)*Assumptions!$B$15/12</f>
        <v>-29676.6666666667</v>
      </c>
      <c r="AF15" s="22" t="n">
        <f aca="false">-(Assumptions!$E$16*Assumptions!$B$12+Assumptions!$E$17*Assumptions!$B$13+Assumptions!$B$14)*Assumptions!$B$15/12</f>
        <v>-29676.6666666667</v>
      </c>
      <c r="AG15" s="22" t="n">
        <f aca="false">-(Assumptions!$E$16*Assumptions!$B$12+Assumptions!$E$17*Assumptions!$B$13+Assumptions!$B$14)*Assumptions!$B$15/12</f>
        <v>-29676.6666666667</v>
      </c>
      <c r="AH15" s="22" t="n">
        <f aca="false">-(Assumptions!$E$16*Assumptions!$B$12+Assumptions!$E$17*Assumptions!$B$13+Assumptions!$B$14)*Assumptions!$B$15/12</f>
        <v>-29676.6666666667</v>
      </c>
      <c r="AI15" s="22" t="n">
        <f aca="false">-(Assumptions!$E$16*Assumptions!$B$12+Assumptions!$E$17*Assumptions!$B$13+Assumptions!$B$14)*Assumptions!$B$15/12</f>
        <v>-29676.6666666667</v>
      </c>
      <c r="AJ15" s="22" t="n">
        <f aca="false">-(Assumptions!$E$16*Assumptions!$B$12+Assumptions!$E$17*Assumptions!$B$13+Assumptions!$B$14)*Assumptions!$B$15/12</f>
        <v>-29676.6666666667</v>
      </c>
      <c r="AK15" s="22" t="n">
        <f aca="false">-(Assumptions!$E$16*Assumptions!$B$12+Assumptions!$E$17*Assumptions!$B$13+Assumptions!$B$14)*Assumptions!$B$15/12</f>
        <v>-29676.6666666667</v>
      </c>
      <c r="AL15" s="22" t="n">
        <f aca="false">-(Assumptions!$E$16*Assumptions!$B$12+Assumptions!$E$17*Assumptions!$B$13+Assumptions!$B$14)*Assumptions!$B$15/12</f>
        <v>-29676.6666666667</v>
      </c>
      <c r="AM15" s="40" t="n">
        <f aca="false">SUM(C15:N15)</f>
        <v>-182120</v>
      </c>
      <c r="AN15" s="40" t="n">
        <f aca="false">SUM(O15:Z15)</f>
        <v>-229680</v>
      </c>
      <c r="AO15" s="40" t="n">
        <f aca="false">SUM(AA15:AL15)</f>
        <v>-356120</v>
      </c>
    </row>
    <row r="16" customFormat="false" ht="15" hidden="false" customHeight="false" outlineLevel="0" collapsed="false">
      <c r="A16" s="6" t="s">
        <v>544</v>
      </c>
      <c r="C16" s="22" t="n">
        <f aca="false">-Assumptions!$B$28/12</f>
        <v>-5333.33333333333</v>
      </c>
      <c r="D16" s="22" t="n">
        <f aca="false">-Assumptions!$B$28/12</f>
        <v>-5333.33333333333</v>
      </c>
      <c r="E16" s="22" t="n">
        <f aca="false">-Assumptions!$B$28/12</f>
        <v>-5333.33333333333</v>
      </c>
      <c r="F16" s="22" t="n">
        <f aca="false">-Assumptions!$B$28/12</f>
        <v>-5333.33333333333</v>
      </c>
      <c r="G16" s="22" t="n">
        <f aca="false">-Assumptions!$B$28/12</f>
        <v>-5333.33333333333</v>
      </c>
      <c r="H16" s="22" t="n">
        <f aca="false">-Assumptions!$B$28/12</f>
        <v>-5333.33333333333</v>
      </c>
      <c r="I16" s="22" t="n">
        <f aca="false">-Assumptions!$B$28/12</f>
        <v>-5333.33333333333</v>
      </c>
      <c r="J16" s="22" t="n">
        <f aca="false">-Assumptions!$B$28/12</f>
        <v>-5333.33333333333</v>
      </c>
      <c r="K16" s="22" t="n">
        <f aca="false">-Assumptions!$B$28/12</f>
        <v>-5333.33333333333</v>
      </c>
      <c r="L16" s="22" t="n">
        <f aca="false">-Assumptions!$B$28/12</f>
        <v>-5333.33333333333</v>
      </c>
      <c r="M16" s="22" t="n">
        <f aca="false">-Assumptions!$B$28/12</f>
        <v>-5333.33333333333</v>
      </c>
      <c r="N16" s="22" t="n">
        <f aca="false">-Assumptions!$B$28/12</f>
        <v>-5333.33333333333</v>
      </c>
      <c r="O16" s="22" t="n">
        <f aca="false">-Assumptions!$B$28/12</f>
        <v>-5333.33333333333</v>
      </c>
      <c r="P16" s="22" t="n">
        <f aca="false">-Assumptions!$B$28/12</f>
        <v>-5333.33333333333</v>
      </c>
      <c r="Q16" s="22" t="n">
        <f aca="false">-Assumptions!$B$28/12</f>
        <v>-5333.33333333333</v>
      </c>
      <c r="R16" s="22" t="n">
        <f aca="false">-Assumptions!$B$28/12</f>
        <v>-5333.33333333333</v>
      </c>
      <c r="S16" s="22" t="n">
        <f aca="false">-Assumptions!$B$28/12</f>
        <v>-5333.33333333333</v>
      </c>
      <c r="T16" s="22" t="n">
        <f aca="false">-Assumptions!$B$28/12</f>
        <v>-5333.33333333333</v>
      </c>
      <c r="U16" s="22" t="n">
        <f aca="false">-Assumptions!$B$28/12</f>
        <v>-5333.33333333333</v>
      </c>
      <c r="V16" s="22" t="n">
        <f aca="false">-Assumptions!$B$28/12</f>
        <v>-5333.33333333333</v>
      </c>
      <c r="W16" s="22" t="n">
        <f aca="false">-Assumptions!$B$28/12</f>
        <v>-5333.33333333333</v>
      </c>
      <c r="X16" s="22" t="n">
        <f aca="false">-Assumptions!$B$28/12</f>
        <v>-5333.33333333333</v>
      </c>
      <c r="Y16" s="22" t="n">
        <f aca="false">-Assumptions!$B$28/12</f>
        <v>-5333.33333333333</v>
      </c>
      <c r="Z16" s="22" t="n">
        <f aca="false">-Assumptions!$B$28/12</f>
        <v>-5333.33333333333</v>
      </c>
      <c r="AA16" s="22" t="n">
        <f aca="false">-Assumptions!$B$28/12</f>
        <v>-5333.33333333333</v>
      </c>
      <c r="AB16" s="22" t="n">
        <f aca="false">-Assumptions!$B$28/12</f>
        <v>-5333.33333333333</v>
      </c>
      <c r="AC16" s="22" t="n">
        <f aca="false">-Assumptions!$B$28/12</f>
        <v>-5333.33333333333</v>
      </c>
      <c r="AD16" s="22" t="n">
        <f aca="false">-Assumptions!$B$28/12</f>
        <v>-5333.33333333333</v>
      </c>
      <c r="AE16" s="22" t="n">
        <f aca="false">-Assumptions!$B$28/12</f>
        <v>-5333.33333333333</v>
      </c>
      <c r="AF16" s="22" t="n">
        <f aca="false">-Assumptions!$B$28/12</f>
        <v>-5333.33333333333</v>
      </c>
      <c r="AG16" s="22" t="n">
        <f aca="false">-Assumptions!$B$28/12</f>
        <v>-5333.33333333333</v>
      </c>
      <c r="AH16" s="22" t="n">
        <f aca="false">-Assumptions!$B$28/12</f>
        <v>-5333.33333333333</v>
      </c>
      <c r="AI16" s="22" t="n">
        <f aca="false">-Assumptions!$B$28/12</f>
        <v>-5333.33333333333</v>
      </c>
      <c r="AJ16" s="22" t="n">
        <f aca="false">-Assumptions!$B$28/12</f>
        <v>-5333.33333333333</v>
      </c>
      <c r="AK16" s="22" t="n">
        <f aca="false">-Assumptions!$B$28/12</f>
        <v>-5333.33333333333</v>
      </c>
      <c r="AL16" s="22" t="n">
        <f aca="false">-Assumptions!$B$28/12</f>
        <v>-5333.33333333333</v>
      </c>
      <c r="AM16" s="40" t="n">
        <f aca="false">SUM(C16:N16)</f>
        <v>-64000</v>
      </c>
      <c r="AN16" s="40" t="n">
        <f aca="false">SUM(O16:Z16)</f>
        <v>-64000</v>
      </c>
      <c r="AO16" s="40" t="n">
        <f aca="false">SUM(AA16:AL16)</f>
        <v>-64000</v>
      </c>
    </row>
    <row r="17" customFormat="false" ht="15" hidden="false" customHeight="false" outlineLevel="0" collapsed="false">
      <c r="A17" s="6" t="s">
        <v>545</v>
      </c>
      <c r="C17" s="22" t="n">
        <f aca="false">-Assumptions!$B$29/12</f>
        <v>-958.333333333333</v>
      </c>
      <c r="D17" s="22" t="n">
        <f aca="false">-Assumptions!$B$29/12</f>
        <v>-958.333333333333</v>
      </c>
      <c r="E17" s="22" t="n">
        <f aca="false">-Assumptions!$B$29/12</f>
        <v>-958.333333333333</v>
      </c>
      <c r="F17" s="22" t="n">
        <f aca="false">-Assumptions!$B$29/12</f>
        <v>-958.333333333333</v>
      </c>
      <c r="G17" s="22" t="n">
        <f aca="false">-Assumptions!$B$29/12</f>
        <v>-958.333333333333</v>
      </c>
      <c r="H17" s="22" t="n">
        <f aca="false">-Assumptions!$B$29/12</f>
        <v>-958.333333333333</v>
      </c>
      <c r="I17" s="22" t="n">
        <f aca="false">-Assumptions!$B$29/12</f>
        <v>-958.333333333333</v>
      </c>
      <c r="J17" s="22" t="n">
        <f aca="false">-Assumptions!$B$29/12</f>
        <v>-958.333333333333</v>
      </c>
      <c r="K17" s="22" t="n">
        <f aca="false">-Assumptions!$B$29/12</f>
        <v>-958.333333333333</v>
      </c>
      <c r="L17" s="22" t="n">
        <f aca="false">-Assumptions!$B$29/12</f>
        <v>-958.333333333333</v>
      </c>
      <c r="M17" s="22" t="n">
        <f aca="false">-Assumptions!$B$29/12</f>
        <v>-958.333333333333</v>
      </c>
      <c r="N17" s="22" t="n">
        <f aca="false">-Assumptions!$B$29/12</f>
        <v>-958.333333333333</v>
      </c>
      <c r="O17" s="22" t="n">
        <f aca="false">-Assumptions!$B$29/12</f>
        <v>-958.333333333333</v>
      </c>
      <c r="P17" s="22" t="n">
        <f aca="false">-Assumptions!$B$29/12</f>
        <v>-958.333333333333</v>
      </c>
      <c r="Q17" s="22" t="n">
        <f aca="false">-Assumptions!$B$29/12</f>
        <v>-958.333333333333</v>
      </c>
      <c r="R17" s="22" t="n">
        <f aca="false">-Assumptions!$B$29/12</f>
        <v>-958.333333333333</v>
      </c>
      <c r="S17" s="22" t="n">
        <f aca="false">-Assumptions!$B$29/12</f>
        <v>-958.333333333333</v>
      </c>
      <c r="T17" s="22" t="n">
        <f aca="false">-Assumptions!$B$29/12</f>
        <v>-958.333333333333</v>
      </c>
      <c r="U17" s="22" t="n">
        <f aca="false">-Assumptions!$B$29/12</f>
        <v>-958.333333333333</v>
      </c>
      <c r="V17" s="22" t="n">
        <f aca="false">-Assumptions!$B$29/12</f>
        <v>-958.333333333333</v>
      </c>
      <c r="W17" s="22" t="n">
        <f aca="false">-Assumptions!$B$29/12</f>
        <v>-958.333333333333</v>
      </c>
      <c r="X17" s="22" t="n">
        <f aca="false">-Assumptions!$B$29/12</f>
        <v>-958.333333333333</v>
      </c>
      <c r="Y17" s="22" t="n">
        <f aca="false">-Assumptions!$B$29/12</f>
        <v>-958.333333333333</v>
      </c>
      <c r="Z17" s="22" t="n">
        <f aca="false">-Assumptions!$B$29/12</f>
        <v>-958.333333333333</v>
      </c>
      <c r="AA17" s="22" t="n">
        <f aca="false">-Assumptions!$B$29/12</f>
        <v>-958.333333333333</v>
      </c>
      <c r="AB17" s="22" t="n">
        <f aca="false">-Assumptions!$B$29/12</f>
        <v>-958.333333333333</v>
      </c>
      <c r="AC17" s="22" t="n">
        <f aca="false">-Assumptions!$B$29/12</f>
        <v>-958.333333333333</v>
      </c>
      <c r="AD17" s="22" t="n">
        <f aca="false">-Assumptions!$B$29/12</f>
        <v>-958.333333333333</v>
      </c>
      <c r="AE17" s="22" t="n">
        <f aca="false">-Assumptions!$B$29/12</f>
        <v>-958.333333333333</v>
      </c>
      <c r="AF17" s="22" t="n">
        <f aca="false">-Assumptions!$B$29/12</f>
        <v>-958.333333333333</v>
      </c>
      <c r="AG17" s="22" t="n">
        <f aca="false">-Assumptions!$B$29/12</f>
        <v>-958.333333333333</v>
      </c>
      <c r="AH17" s="22" t="n">
        <f aca="false">-Assumptions!$B$29/12</f>
        <v>-958.333333333333</v>
      </c>
      <c r="AI17" s="22" t="n">
        <f aca="false">-Assumptions!$B$29/12</f>
        <v>-958.333333333333</v>
      </c>
      <c r="AJ17" s="22" t="n">
        <f aca="false">-Assumptions!$B$29/12</f>
        <v>-958.333333333333</v>
      </c>
      <c r="AK17" s="22" t="n">
        <f aca="false">-Assumptions!$B$29/12</f>
        <v>-958.333333333333</v>
      </c>
      <c r="AL17" s="22" t="n">
        <f aca="false">-Assumptions!$B$29/12</f>
        <v>-958.333333333333</v>
      </c>
      <c r="AM17" s="40" t="n">
        <f aca="false">SUM(C17:N17)</f>
        <v>-11500</v>
      </c>
      <c r="AN17" s="40" t="n">
        <f aca="false">SUM(O17:Z17)</f>
        <v>-11500</v>
      </c>
      <c r="AO17" s="40" t="n">
        <f aca="false">SUM(AA17:AL17)</f>
        <v>-11500</v>
      </c>
    </row>
    <row r="18" customFormat="false" ht="15" hidden="false" customHeight="false" outlineLevel="0" collapsed="false">
      <c r="A18" s="6" t="s">
        <v>546</v>
      </c>
      <c r="C18" s="22" t="n">
        <f aca="false">-Assumptions!$B$30/12</f>
        <v>-0</v>
      </c>
      <c r="D18" s="22" t="n">
        <f aca="false">-Assumptions!$B$30/12</f>
        <v>-0</v>
      </c>
      <c r="E18" s="22" t="n">
        <f aca="false">-Assumptions!$B$30/12</f>
        <v>-0</v>
      </c>
      <c r="F18" s="22" t="n">
        <f aca="false">-Assumptions!$B$30/12</f>
        <v>-0</v>
      </c>
      <c r="G18" s="22" t="n">
        <f aca="false">-Assumptions!$B$30/12</f>
        <v>-0</v>
      </c>
      <c r="H18" s="22" t="n">
        <f aca="false">-Assumptions!$B$30/12</f>
        <v>-0</v>
      </c>
      <c r="I18" s="22" t="n">
        <f aca="false">-Assumptions!$B$30/12</f>
        <v>-0</v>
      </c>
      <c r="J18" s="22" t="n">
        <f aca="false">-Assumptions!$B$30/12</f>
        <v>-0</v>
      </c>
      <c r="K18" s="22" t="n">
        <f aca="false">-Assumptions!$B$30/12</f>
        <v>-0</v>
      </c>
      <c r="L18" s="22" t="n">
        <f aca="false">-Assumptions!$B$30/12</f>
        <v>-0</v>
      </c>
      <c r="M18" s="22" t="n">
        <f aca="false">-Assumptions!$B$30/12</f>
        <v>-0</v>
      </c>
      <c r="N18" s="22" t="n">
        <f aca="false">-Assumptions!$B$30/12</f>
        <v>-0</v>
      </c>
      <c r="O18" s="22" t="n">
        <f aca="false">-Assumptions!$B$30/12</f>
        <v>-0</v>
      </c>
      <c r="P18" s="22" t="n">
        <f aca="false">-Assumptions!$B$30/12</f>
        <v>-0</v>
      </c>
      <c r="Q18" s="22" t="n">
        <f aca="false">-Assumptions!$B$30/12</f>
        <v>-0</v>
      </c>
      <c r="R18" s="22" t="n">
        <f aca="false">-Assumptions!$B$30/12</f>
        <v>-0</v>
      </c>
      <c r="S18" s="22" t="n">
        <f aca="false">-Assumptions!$B$30/12</f>
        <v>-0</v>
      </c>
      <c r="T18" s="22" t="n">
        <f aca="false">-Assumptions!$B$30/12</f>
        <v>-0</v>
      </c>
      <c r="U18" s="22" t="n">
        <f aca="false">-Assumptions!$B$30/12</f>
        <v>-0</v>
      </c>
      <c r="V18" s="22" t="n">
        <f aca="false">-Assumptions!$B$30/12</f>
        <v>-0</v>
      </c>
      <c r="W18" s="22" t="n">
        <f aca="false">-Assumptions!$B$30/12</f>
        <v>-0</v>
      </c>
      <c r="X18" s="22" t="n">
        <f aca="false">-Assumptions!$B$30/12</f>
        <v>-0</v>
      </c>
      <c r="Y18" s="22" t="n">
        <f aca="false">-Assumptions!$B$30/12</f>
        <v>-0</v>
      </c>
      <c r="Z18" s="22" t="n">
        <f aca="false">-Assumptions!$B$30/12</f>
        <v>-0</v>
      </c>
      <c r="AA18" s="22" t="n">
        <f aca="false">-Assumptions!$B$30/12</f>
        <v>-0</v>
      </c>
      <c r="AB18" s="22" t="n">
        <f aca="false">-Assumptions!$B$30/12</f>
        <v>-0</v>
      </c>
      <c r="AC18" s="22" t="n">
        <f aca="false">-Assumptions!$B$30/12</f>
        <v>-0</v>
      </c>
      <c r="AD18" s="22" t="n">
        <f aca="false">-Assumptions!$B$30/12</f>
        <v>-0</v>
      </c>
      <c r="AE18" s="22" t="n">
        <f aca="false">-Assumptions!$B$30/12</f>
        <v>-0</v>
      </c>
      <c r="AF18" s="22" t="n">
        <f aca="false">-Assumptions!$B$30/12</f>
        <v>-0</v>
      </c>
      <c r="AG18" s="22" t="n">
        <f aca="false">-Assumptions!$B$30/12</f>
        <v>-0</v>
      </c>
      <c r="AH18" s="22" t="n">
        <f aca="false">-Assumptions!$B$30/12</f>
        <v>-0</v>
      </c>
      <c r="AI18" s="22" t="n">
        <f aca="false">-Assumptions!$B$30/12</f>
        <v>-0</v>
      </c>
      <c r="AJ18" s="22" t="n">
        <f aca="false">-Assumptions!$B$30/12</f>
        <v>-0</v>
      </c>
      <c r="AK18" s="22" t="n">
        <f aca="false">-Assumptions!$B$30/12</f>
        <v>-0</v>
      </c>
      <c r="AL18" s="22" t="n">
        <f aca="false">-Assumptions!$B$30/12</f>
        <v>-0</v>
      </c>
      <c r="AM18" s="40" t="n">
        <f aca="false">SUM(C18:N18)</f>
        <v>0</v>
      </c>
      <c r="AN18" s="40" t="n">
        <f aca="false">SUM(O18:Z18)</f>
        <v>0</v>
      </c>
      <c r="AO18" s="40" t="n">
        <f aca="false">SUM(AA18:AL18)</f>
        <v>0</v>
      </c>
    </row>
    <row r="19" customFormat="false" ht="15" hidden="false" customHeight="false" outlineLevel="0" collapsed="false">
      <c r="A19" s="6" t="s">
        <v>547</v>
      </c>
      <c r="C19" s="22" t="n">
        <f aca="false">-Energy!C$17</f>
        <v>-223.05</v>
      </c>
      <c r="D19" s="22" t="n">
        <f aca="false">-Energy!D$17</f>
        <v>-204.97</v>
      </c>
      <c r="E19" s="22" t="n">
        <f aca="false">-Energy!E$17</f>
        <v>-278.94</v>
      </c>
      <c r="F19" s="22" t="n">
        <f aca="false">-Energy!F$17</f>
        <v>-316.75</v>
      </c>
      <c r="G19" s="22" t="n">
        <f aca="false">-Energy!G$17</f>
        <v>-316.75</v>
      </c>
      <c r="H19" s="22" t="n">
        <f aca="false">-Energy!H$17</f>
        <v>-300.52</v>
      </c>
      <c r="I19" s="22" t="n">
        <f aca="false">-Energy!I$17</f>
        <v>-282.73</v>
      </c>
      <c r="J19" s="22" t="n">
        <f aca="false">-Energy!J$17</f>
        <v>-201.18</v>
      </c>
      <c r="K19" s="22" t="n">
        <f aca="false">-Energy!K$17</f>
        <v>-226.84</v>
      </c>
      <c r="L19" s="22" t="n">
        <f aca="false">-Energy!L$17</f>
        <v>-405.3</v>
      </c>
      <c r="M19" s="22" t="n">
        <f aca="false">-Energy!M$17</f>
        <v>-554.89</v>
      </c>
      <c r="N19" s="22" t="n">
        <f aca="false">-Energy!N$17</f>
        <v>-554.89</v>
      </c>
      <c r="O19" s="22" t="n">
        <f aca="false">-Energy!O$17</f>
        <v>-223.05</v>
      </c>
      <c r="P19" s="22" t="n">
        <f aca="false">-Energy!P$17</f>
        <v>-204.97</v>
      </c>
      <c r="Q19" s="22" t="n">
        <f aca="false">-Energy!Q$17</f>
        <v>-278.94</v>
      </c>
      <c r="R19" s="22" t="n">
        <f aca="false">-Energy!R$17</f>
        <v>-316.75</v>
      </c>
      <c r="S19" s="22" t="n">
        <f aca="false">-Energy!S$17</f>
        <v>-316.75</v>
      </c>
      <c r="T19" s="22" t="n">
        <f aca="false">-Energy!T$17</f>
        <v>-304.31</v>
      </c>
      <c r="U19" s="22" t="n">
        <f aca="false">-Energy!U$17</f>
        <v>-282.73</v>
      </c>
      <c r="V19" s="22" t="n">
        <f aca="false">-Energy!V$17</f>
        <v>-201.18</v>
      </c>
      <c r="W19" s="22" t="n">
        <f aca="false">-Energy!W$17</f>
        <v>-226.84</v>
      </c>
      <c r="X19" s="22" t="n">
        <f aca="false">-Energy!X$17</f>
        <v>-405.3</v>
      </c>
      <c r="Y19" s="22" t="n">
        <f aca="false">-Energy!Y$17</f>
        <v>-554.89</v>
      </c>
      <c r="Z19" s="22" t="n">
        <f aca="false">-Energy!Z$17</f>
        <v>-554.89</v>
      </c>
      <c r="AA19" s="22" t="n">
        <f aca="false">-Energy!AA$17</f>
        <v>-223.05</v>
      </c>
      <c r="AB19" s="22" t="n">
        <f aca="false">-Energy!AB$17</f>
        <v>-204.97</v>
      </c>
      <c r="AC19" s="22" t="n">
        <f aca="false">-Energy!AC$17</f>
        <v>-278.94</v>
      </c>
      <c r="AD19" s="22" t="n">
        <f aca="false">-Energy!AD$17</f>
        <v>-316.75</v>
      </c>
      <c r="AE19" s="22" t="n">
        <f aca="false">-Energy!AE$17</f>
        <v>-316.75</v>
      </c>
      <c r="AF19" s="22" t="n">
        <f aca="false">-Energy!AF$17</f>
        <v>-300.52</v>
      </c>
      <c r="AG19" s="22" t="n">
        <f aca="false">-Energy!AG$17</f>
        <v>-282.73</v>
      </c>
      <c r="AH19" s="22" t="n">
        <f aca="false">-Energy!AH$17</f>
        <v>-201.18</v>
      </c>
      <c r="AI19" s="22" t="n">
        <f aca="false">-Energy!AI$17</f>
        <v>-226.84</v>
      </c>
      <c r="AJ19" s="22" t="n">
        <f aca="false">-Energy!AJ$17</f>
        <v>-405.3</v>
      </c>
      <c r="AK19" s="22" t="n">
        <f aca="false">-Energy!AK$17</f>
        <v>-554.89</v>
      </c>
      <c r="AL19" s="22" t="n">
        <f aca="false">-Energy!AL$17</f>
        <v>-554.89</v>
      </c>
      <c r="AM19" s="40" t="n">
        <f aca="false">SUM(C19:N19)</f>
        <v>-3866.81</v>
      </c>
      <c r="AN19" s="40" t="n">
        <f aca="false">SUM(O19:Z19)</f>
        <v>-3870.6</v>
      </c>
      <c r="AO19" s="40" t="n">
        <f aca="false">SUM(AA19:AL19)</f>
        <v>-3866.81</v>
      </c>
    </row>
    <row r="20" customFormat="false" ht="15" hidden="false" customHeight="false" outlineLevel="0" collapsed="false">
      <c r="A20" s="6" t="s">
        <v>548</v>
      </c>
      <c r="C20" s="22" t="n">
        <f aca="false">-MAX(Assumptions!$B$40,Assumptions!$B$39*C10)</f>
        <v>-1598.03266061134</v>
      </c>
      <c r="D20" s="22" t="n">
        <f aca="false">-MAX(Assumptions!$B$40,Assumptions!$B$39*D10)</f>
        <v>-1908.41977353777</v>
      </c>
      <c r="E20" s="22" t="n">
        <f aca="false">-MAX(Assumptions!$B$40,Assumptions!$B$39*E10)</f>
        <v>-2077.44245879474</v>
      </c>
      <c r="F20" s="22" t="n">
        <f aca="false">-MAX(Assumptions!$B$40,Assumptions!$B$39*F10)</f>
        <v>-2406.26841011284</v>
      </c>
      <c r="G20" s="22" t="n">
        <f aca="false">-MAX(Assumptions!$B$40,Assumptions!$B$39*G10)</f>
        <v>-2655.19272840037</v>
      </c>
      <c r="H20" s="22" t="n">
        <f aca="false">-MAX(Assumptions!$B$40,Assumptions!$B$39*H10)</f>
        <v>-2151.19781236142</v>
      </c>
      <c r="I20" s="22" t="n">
        <f aca="false">-MAX(Assumptions!$B$40,Assumptions!$B$39*I10)</f>
        <v>-2627.53447081287</v>
      </c>
      <c r="J20" s="22" t="n">
        <f aca="false">-MAX(Assumptions!$B$40,Assumptions!$B$39*J10)</f>
        <v>-2729.9724618777</v>
      </c>
      <c r="K20" s="22" t="n">
        <f aca="false">-MAX(Assumptions!$B$40,Assumptions!$B$39*K10)</f>
        <v>-3042.40833462543</v>
      </c>
      <c r="L20" s="22" t="n">
        <f aca="false">-MAX(Assumptions!$B$40,Assumptions!$B$39*L10)</f>
        <v>-3129.48062703053</v>
      </c>
      <c r="M20" s="22" t="n">
        <f aca="false">-MAX(Assumptions!$B$40,Assumptions!$B$39*M10)</f>
        <v>-3457.28219843799</v>
      </c>
      <c r="N20" s="22" t="n">
        <f aca="false">-MAX(Assumptions!$B$40,Assumptions!$B$39*N10)</f>
        <v>-3664.71913034427</v>
      </c>
      <c r="O20" s="22" t="n">
        <f aca="false">-MAX(Assumptions!$B$40,Assumptions!$C$39*O10)</f>
        <v>-3107.28572896649</v>
      </c>
      <c r="P20" s="22" t="n">
        <f aca="false">-MAX(Assumptions!$B$40,Assumptions!$C$39*P10)</f>
        <v>-3399.66082846402</v>
      </c>
      <c r="Q20" s="22" t="n">
        <f aca="false">-MAX(Assumptions!$B$40,Assumptions!$C$39*Q10)</f>
        <v>-3440.20919992718</v>
      </c>
      <c r="R20" s="22" t="n">
        <f aca="false">-MAX(Assumptions!$B$40,Assumptions!$C$39*R10)</f>
        <v>-3745.38904830782</v>
      </c>
      <c r="S20" s="22" t="n">
        <f aca="false">-MAX(Assumptions!$B$40,Assumptions!$C$39*S10)</f>
        <v>-3918.25315822972</v>
      </c>
      <c r="T20" s="22" t="n">
        <f aca="false">-MAX(Assumptions!$B$40,Assumptions!$C$39*T10)</f>
        <v>-3788.07154458483</v>
      </c>
      <c r="U20" s="22" t="n">
        <f aca="false">-MAX(Assumptions!$B$40,Assumptions!$C$39*U10)</f>
        <v>-4263.98137807352</v>
      </c>
      <c r="V20" s="22" t="n">
        <f aca="false">-MAX(Assumptions!$B$40,Assumptions!$C$39*V10)</f>
        <v>-4272.51787732892</v>
      </c>
      <c r="W20" s="22" t="n">
        <f aca="false">-MAX(Assumptions!$B$40,Assumptions!$C$39*W10)</f>
        <v>-4609.70959791732</v>
      </c>
      <c r="X20" s="22" t="n">
        <f aca="false">-MAX(Assumptions!$B$40,Assumptions!$C$39*X10)</f>
        <v>-4605.44134828962</v>
      </c>
      <c r="Y20" s="22" t="n">
        <f aca="false">-MAX(Assumptions!$B$40,Assumptions!$C$39*Y10)</f>
        <v>-4955.43781776112</v>
      </c>
      <c r="Z20" s="22" t="n">
        <f aca="false">-MAX(Assumptions!$B$40,Assumptions!$C$39*Z10)</f>
        <v>-5128.30192768302</v>
      </c>
      <c r="AA20" s="22" t="n">
        <f aca="false">-MAX(Assumptions!$B$40,Assumptions!$E$39*AA10)</f>
        <v>-4083.86124378453</v>
      </c>
      <c r="AB20" s="22" t="n">
        <f aca="false">-MAX(Assumptions!$B$40,Assumptions!$E$39*AB10)</f>
        <v>-4379.22411802145</v>
      </c>
      <c r="AC20" s="22" t="n">
        <f aca="false">-MAX(Assumptions!$B$40,Assumptions!$E$39*AC10)</f>
        <v>-4350.20002055308</v>
      </c>
      <c r="AD20" s="22" t="n">
        <f aca="false">-MAX(Assumptions!$B$40,Assumptions!$E$39*AD10)</f>
        <v>-4655.80669389649</v>
      </c>
      <c r="AE20" s="22" t="n">
        <f aca="false">-MAX(Assumptions!$B$40,Assumptions!$E$39*AE10)</f>
        <v>-4794.09798183401</v>
      </c>
      <c r="AF20" s="22" t="n">
        <f aca="false">-MAX(Assumptions!$B$40,Assumptions!$E$39*AF10)</f>
        <v>-4384.34601757469</v>
      </c>
      <c r="AG20" s="22" t="n">
        <f aca="false">-MAX(Assumptions!$B$40,Assumptions!$E$39*AG10)</f>
        <v>-5070.68055770905</v>
      </c>
      <c r="AH20" s="22" t="n">
        <f aca="false">-MAX(Assumptions!$B$40,Assumptions!$E$39*AH10)</f>
        <v>-5016.04696247447</v>
      </c>
      <c r="AI20" s="22" t="n">
        <f aca="false">-MAX(Assumptions!$B$40,Assumptions!$E$39*AI10)</f>
        <v>-5347.26313358409</v>
      </c>
      <c r="AJ20" s="22" t="n">
        <f aca="false">-MAX(Assumptions!$B$40,Assumptions!$E$39*AJ10)</f>
        <v>-5282.38573924303</v>
      </c>
      <c r="AK20" s="22" t="n">
        <f aca="false">-MAX(Assumptions!$B$40,Assumptions!$E$39*AK10)</f>
        <v>-5623.84570945913</v>
      </c>
      <c r="AL20" s="22" t="n">
        <f aca="false">-MAX(Assumptions!$B$40,Assumptions!$E$39*AL10)</f>
        <v>-5762.13699739665</v>
      </c>
      <c r="AM20" s="40" t="n">
        <f aca="false">SUM(C20:N20)</f>
        <v>-31447.9510669473</v>
      </c>
      <c r="AN20" s="40" t="n">
        <f aca="false">SUM(O20:Z20)</f>
        <v>-49234.2594555336</v>
      </c>
      <c r="AO20" s="40" t="n">
        <f aca="false">SUM(AA20:AL20)</f>
        <v>-58749.8951755307</v>
      </c>
    </row>
    <row r="21" customFormat="false" ht="15" hidden="false" customHeight="false" outlineLevel="0" collapsed="false">
      <c r="A21" s="6" t="s">
        <v>549</v>
      </c>
      <c r="C21" s="22" t="n">
        <f aca="false">-Assumptions!$B$32/12</f>
        <v>-125</v>
      </c>
      <c r="D21" s="22" t="n">
        <f aca="false">-Assumptions!$B$32/12</f>
        <v>-125</v>
      </c>
      <c r="E21" s="22" t="n">
        <f aca="false">-Assumptions!$B$32/12</f>
        <v>-125</v>
      </c>
      <c r="F21" s="22" t="n">
        <f aca="false">-Assumptions!$B$32/12</f>
        <v>-125</v>
      </c>
      <c r="G21" s="22" t="n">
        <f aca="false">-Assumptions!$B$32/12</f>
        <v>-125</v>
      </c>
      <c r="H21" s="22" t="n">
        <f aca="false">-Assumptions!$B$32/12</f>
        <v>-125</v>
      </c>
      <c r="I21" s="22" t="n">
        <f aca="false">-Assumptions!$B$32/12</f>
        <v>-125</v>
      </c>
      <c r="J21" s="22" t="n">
        <f aca="false">-Assumptions!$B$32/12</f>
        <v>-125</v>
      </c>
      <c r="K21" s="22" t="n">
        <f aca="false">-Assumptions!$B$32/12</f>
        <v>-125</v>
      </c>
      <c r="L21" s="22" t="n">
        <f aca="false">-Assumptions!$B$32/12</f>
        <v>-125</v>
      </c>
      <c r="M21" s="22" t="n">
        <f aca="false">-Assumptions!$B$32/12</f>
        <v>-125</v>
      </c>
      <c r="N21" s="22" t="n">
        <f aca="false">-Assumptions!$B$32/12</f>
        <v>-125</v>
      </c>
      <c r="O21" s="22" t="n">
        <f aca="false">-Assumptions!$B$32/12</f>
        <v>-125</v>
      </c>
      <c r="P21" s="22" t="n">
        <f aca="false">-Assumptions!$B$32/12</f>
        <v>-125</v>
      </c>
      <c r="Q21" s="22" t="n">
        <f aca="false">-Assumptions!$B$32/12</f>
        <v>-125</v>
      </c>
      <c r="R21" s="22" t="n">
        <f aca="false">-Assumptions!$B$32/12</f>
        <v>-125</v>
      </c>
      <c r="S21" s="22" t="n">
        <f aca="false">-Assumptions!$B$32/12</f>
        <v>-125</v>
      </c>
      <c r="T21" s="22" t="n">
        <f aca="false">-Assumptions!$B$32/12</f>
        <v>-125</v>
      </c>
      <c r="U21" s="22" t="n">
        <f aca="false">-Assumptions!$B$32/12</f>
        <v>-125</v>
      </c>
      <c r="V21" s="22" t="n">
        <f aca="false">-Assumptions!$B$32/12</f>
        <v>-125</v>
      </c>
      <c r="W21" s="22" t="n">
        <f aca="false">-Assumptions!$B$32/12</f>
        <v>-125</v>
      </c>
      <c r="X21" s="22" t="n">
        <f aca="false">-Assumptions!$B$32/12</f>
        <v>-125</v>
      </c>
      <c r="Y21" s="22" t="n">
        <f aca="false">-Assumptions!$B$32/12</f>
        <v>-125</v>
      </c>
      <c r="Z21" s="22" t="n">
        <f aca="false">-Assumptions!$B$32/12</f>
        <v>-125</v>
      </c>
      <c r="AA21" s="22" t="n">
        <f aca="false">-Assumptions!$B$32/12</f>
        <v>-125</v>
      </c>
      <c r="AB21" s="22" t="n">
        <f aca="false">-Assumptions!$B$32/12</f>
        <v>-125</v>
      </c>
      <c r="AC21" s="22" t="n">
        <f aca="false">-Assumptions!$B$32/12</f>
        <v>-125</v>
      </c>
      <c r="AD21" s="22" t="n">
        <f aca="false">-Assumptions!$B$32/12</f>
        <v>-125</v>
      </c>
      <c r="AE21" s="22" t="n">
        <f aca="false">-Assumptions!$B$32/12</f>
        <v>-125</v>
      </c>
      <c r="AF21" s="22" t="n">
        <f aca="false">-Assumptions!$B$32/12</f>
        <v>-125</v>
      </c>
      <c r="AG21" s="22" t="n">
        <f aca="false">-Assumptions!$B$32/12</f>
        <v>-125</v>
      </c>
      <c r="AH21" s="22" t="n">
        <f aca="false">-Assumptions!$B$32/12</f>
        <v>-125</v>
      </c>
      <c r="AI21" s="22" t="n">
        <f aca="false">-Assumptions!$B$32/12</f>
        <v>-125</v>
      </c>
      <c r="AJ21" s="22" t="n">
        <f aca="false">-Assumptions!$B$32/12</f>
        <v>-125</v>
      </c>
      <c r="AK21" s="22" t="n">
        <f aca="false">-Assumptions!$B$32/12</f>
        <v>-125</v>
      </c>
      <c r="AL21" s="22" t="n">
        <f aca="false">-Assumptions!$B$32/12</f>
        <v>-125</v>
      </c>
      <c r="AM21" s="40" t="n">
        <f aca="false">SUM(C21:N21)</f>
        <v>-1500</v>
      </c>
      <c r="AN21" s="40" t="n">
        <f aca="false">SUM(O21:Z21)</f>
        <v>-1500</v>
      </c>
      <c r="AO21" s="40" t="n">
        <f aca="false">SUM(AA21:AL21)</f>
        <v>-1500</v>
      </c>
    </row>
    <row r="22" customFormat="false" ht="15" hidden="false" customHeight="false" outlineLevel="0" collapsed="false">
      <c r="A22" s="6" t="s">
        <v>550</v>
      </c>
      <c r="C22" s="22" t="n">
        <f aca="false">-Assumptions!$B$33</f>
        <v>-50</v>
      </c>
      <c r="D22" s="22" t="n">
        <f aca="false">-Assumptions!$B$33</f>
        <v>-50</v>
      </c>
      <c r="E22" s="22" t="n">
        <f aca="false">-Assumptions!$B$33</f>
        <v>-50</v>
      </c>
      <c r="F22" s="22" t="n">
        <f aca="false">-Assumptions!$B$33</f>
        <v>-50</v>
      </c>
      <c r="G22" s="22" t="n">
        <f aca="false">-Assumptions!$B$33</f>
        <v>-50</v>
      </c>
      <c r="H22" s="22" t="n">
        <f aca="false">-Assumptions!$B$33</f>
        <v>-50</v>
      </c>
      <c r="I22" s="22" t="n">
        <f aca="false">-Assumptions!$B$33</f>
        <v>-50</v>
      </c>
      <c r="J22" s="22" t="n">
        <f aca="false">-Assumptions!$B$33</f>
        <v>-50</v>
      </c>
      <c r="K22" s="22" t="n">
        <f aca="false">-Assumptions!$B$33</f>
        <v>-50</v>
      </c>
      <c r="L22" s="22" t="n">
        <f aca="false">-Assumptions!$B$33</f>
        <v>-50</v>
      </c>
      <c r="M22" s="22" t="n">
        <f aca="false">-Assumptions!$B$33</f>
        <v>-50</v>
      </c>
      <c r="N22" s="22" t="n">
        <f aca="false">-Assumptions!$B$33</f>
        <v>-50</v>
      </c>
      <c r="O22" s="22" t="n">
        <f aca="false">-Assumptions!$B$33</f>
        <v>-50</v>
      </c>
      <c r="P22" s="22" t="n">
        <f aca="false">-Assumptions!$B$33</f>
        <v>-50</v>
      </c>
      <c r="Q22" s="22" t="n">
        <f aca="false">-Assumptions!$B$33</f>
        <v>-50</v>
      </c>
      <c r="R22" s="22" t="n">
        <f aca="false">-Assumptions!$B$33</f>
        <v>-50</v>
      </c>
      <c r="S22" s="22" t="n">
        <f aca="false">-Assumptions!$B$33</f>
        <v>-50</v>
      </c>
      <c r="T22" s="22" t="n">
        <f aca="false">-Assumptions!$B$33</f>
        <v>-50</v>
      </c>
      <c r="U22" s="22" t="n">
        <f aca="false">-Assumptions!$B$33</f>
        <v>-50</v>
      </c>
      <c r="V22" s="22" t="n">
        <f aca="false">-Assumptions!$B$33</f>
        <v>-50</v>
      </c>
      <c r="W22" s="22" t="n">
        <f aca="false">-Assumptions!$B$33</f>
        <v>-50</v>
      </c>
      <c r="X22" s="22" t="n">
        <f aca="false">-Assumptions!$B$33</f>
        <v>-50</v>
      </c>
      <c r="Y22" s="22" t="n">
        <f aca="false">-Assumptions!$B$33</f>
        <v>-50</v>
      </c>
      <c r="Z22" s="22" t="n">
        <f aca="false">-Assumptions!$B$33</f>
        <v>-50</v>
      </c>
      <c r="AA22" s="22" t="n">
        <f aca="false">-Assumptions!$B$33</f>
        <v>-50</v>
      </c>
      <c r="AB22" s="22" t="n">
        <f aca="false">-Assumptions!$B$33</f>
        <v>-50</v>
      </c>
      <c r="AC22" s="22" t="n">
        <f aca="false">-Assumptions!$B$33</f>
        <v>-50</v>
      </c>
      <c r="AD22" s="22" t="n">
        <f aca="false">-Assumptions!$B$33</f>
        <v>-50</v>
      </c>
      <c r="AE22" s="22" t="n">
        <f aca="false">-Assumptions!$B$33</f>
        <v>-50</v>
      </c>
      <c r="AF22" s="22" t="n">
        <f aca="false">-Assumptions!$B$33</f>
        <v>-50</v>
      </c>
      <c r="AG22" s="22" t="n">
        <f aca="false">-Assumptions!$B$33</f>
        <v>-50</v>
      </c>
      <c r="AH22" s="22" t="n">
        <f aca="false">-Assumptions!$B$33</f>
        <v>-50</v>
      </c>
      <c r="AI22" s="22" t="n">
        <f aca="false">-Assumptions!$B$33</f>
        <v>-50</v>
      </c>
      <c r="AJ22" s="22" t="n">
        <f aca="false">-Assumptions!$B$33</f>
        <v>-50</v>
      </c>
      <c r="AK22" s="22" t="n">
        <f aca="false">-Assumptions!$B$33</f>
        <v>-50</v>
      </c>
      <c r="AL22" s="22" t="n">
        <f aca="false">-Assumptions!$B$33</f>
        <v>-50</v>
      </c>
      <c r="AM22" s="40" t="n">
        <f aca="false">SUM(C22:N22)</f>
        <v>-600</v>
      </c>
      <c r="AN22" s="40" t="n">
        <f aca="false">SUM(O22:Z22)</f>
        <v>-600</v>
      </c>
      <c r="AO22" s="40" t="n">
        <f aca="false">SUM(AA22:AL22)</f>
        <v>-600</v>
      </c>
    </row>
    <row r="23" customFormat="false" ht="15" hidden="false" customHeight="false" outlineLevel="0" collapsed="false">
      <c r="A23" s="6" t="s">
        <v>551</v>
      </c>
      <c r="C23" s="22" t="n">
        <f aca="false">-Assumptions!$B$36</f>
        <v>-400</v>
      </c>
      <c r="D23" s="22" t="n">
        <f aca="false">-Assumptions!$B$36</f>
        <v>-400</v>
      </c>
      <c r="E23" s="22" t="n">
        <f aca="false">-Assumptions!$B$36</f>
        <v>-400</v>
      </c>
      <c r="F23" s="22" t="n">
        <f aca="false">-Assumptions!$B$36</f>
        <v>-400</v>
      </c>
      <c r="G23" s="22" t="n">
        <f aca="false">-Assumptions!$B$36</f>
        <v>-400</v>
      </c>
      <c r="H23" s="22" t="n">
        <f aca="false">-Assumptions!$B$36</f>
        <v>-400</v>
      </c>
      <c r="I23" s="22" t="n">
        <f aca="false">-Assumptions!$B$36</f>
        <v>-400</v>
      </c>
      <c r="J23" s="22" t="n">
        <f aca="false">-Assumptions!$B$36</f>
        <v>-400</v>
      </c>
      <c r="K23" s="22" t="n">
        <f aca="false">-Assumptions!$B$36</f>
        <v>-400</v>
      </c>
      <c r="L23" s="22" t="n">
        <f aca="false">-Assumptions!$B$36</f>
        <v>-400</v>
      </c>
      <c r="M23" s="22" t="n">
        <f aca="false">-Assumptions!$B$36</f>
        <v>-400</v>
      </c>
      <c r="N23" s="22" t="n">
        <f aca="false">-Assumptions!$B$36</f>
        <v>-400</v>
      </c>
      <c r="O23" s="22" t="n">
        <f aca="false">-Assumptions!$B$36</f>
        <v>-400</v>
      </c>
      <c r="P23" s="22" t="n">
        <f aca="false">-Assumptions!$B$36</f>
        <v>-400</v>
      </c>
      <c r="Q23" s="22" t="n">
        <f aca="false">-Assumptions!$B$36</f>
        <v>-400</v>
      </c>
      <c r="R23" s="22" t="n">
        <f aca="false">-Assumptions!$B$36</f>
        <v>-400</v>
      </c>
      <c r="S23" s="22" t="n">
        <f aca="false">-Assumptions!$B$36</f>
        <v>-400</v>
      </c>
      <c r="T23" s="22" t="n">
        <f aca="false">-Assumptions!$B$36</f>
        <v>-400</v>
      </c>
      <c r="U23" s="22" t="n">
        <f aca="false">-Assumptions!$B$36</f>
        <v>-400</v>
      </c>
      <c r="V23" s="22" t="n">
        <f aca="false">-Assumptions!$B$36</f>
        <v>-400</v>
      </c>
      <c r="W23" s="22" t="n">
        <f aca="false">-Assumptions!$B$36</f>
        <v>-400</v>
      </c>
      <c r="X23" s="22" t="n">
        <f aca="false">-Assumptions!$B$36</f>
        <v>-400</v>
      </c>
      <c r="Y23" s="22" t="n">
        <f aca="false">-Assumptions!$B$36</f>
        <v>-400</v>
      </c>
      <c r="Z23" s="22" t="n">
        <f aca="false">-Assumptions!$B$36</f>
        <v>-400</v>
      </c>
      <c r="AA23" s="22" t="n">
        <f aca="false">-Assumptions!$B$36</f>
        <v>-400</v>
      </c>
      <c r="AB23" s="22" t="n">
        <f aca="false">-Assumptions!$B$36</f>
        <v>-400</v>
      </c>
      <c r="AC23" s="22" t="n">
        <f aca="false">-Assumptions!$B$36</f>
        <v>-400</v>
      </c>
      <c r="AD23" s="22" t="n">
        <f aca="false">-Assumptions!$B$36</f>
        <v>-400</v>
      </c>
      <c r="AE23" s="22" t="n">
        <f aca="false">-Assumptions!$B$36</f>
        <v>-400</v>
      </c>
      <c r="AF23" s="22" t="n">
        <f aca="false">-Assumptions!$B$36</f>
        <v>-400</v>
      </c>
      <c r="AG23" s="22" t="n">
        <f aca="false">-Assumptions!$B$36</f>
        <v>-400</v>
      </c>
      <c r="AH23" s="22" t="n">
        <f aca="false">-Assumptions!$B$36</f>
        <v>-400</v>
      </c>
      <c r="AI23" s="22" t="n">
        <f aca="false">-Assumptions!$B$36</f>
        <v>-400</v>
      </c>
      <c r="AJ23" s="22" t="n">
        <f aca="false">-Assumptions!$B$36</f>
        <v>-400</v>
      </c>
      <c r="AK23" s="22" t="n">
        <f aca="false">-Assumptions!$B$36</f>
        <v>-400</v>
      </c>
      <c r="AL23" s="22" t="n">
        <f aca="false">-Assumptions!$B$36</f>
        <v>-400</v>
      </c>
      <c r="AM23" s="40" t="n">
        <f aca="false">SUM(C23:N23)</f>
        <v>-4800</v>
      </c>
      <c r="AN23" s="40" t="n">
        <f aca="false">SUM(O23:Z23)</f>
        <v>-4800</v>
      </c>
      <c r="AO23" s="40" t="n">
        <f aca="false">SUM(AA23:AL23)</f>
        <v>-4800</v>
      </c>
    </row>
    <row r="24" customFormat="false" ht="15" hidden="false" customHeight="false" outlineLevel="0" collapsed="false">
      <c r="A24" s="6" t="s">
        <v>552</v>
      </c>
      <c r="C24" s="22" t="n">
        <f aca="false">-Assumptions!$B$37</f>
        <v>-200</v>
      </c>
      <c r="D24" s="22" t="n">
        <f aca="false">-Assumptions!$B$37</f>
        <v>-200</v>
      </c>
      <c r="E24" s="22" t="n">
        <f aca="false">-Assumptions!$B$37</f>
        <v>-200</v>
      </c>
      <c r="F24" s="22" t="n">
        <f aca="false">-Assumptions!$B$37</f>
        <v>-200</v>
      </c>
      <c r="G24" s="22" t="n">
        <f aca="false">-Assumptions!$B$37</f>
        <v>-200</v>
      </c>
      <c r="H24" s="22" t="n">
        <f aca="false">-Assumptions!$B$37</f>
        <v>-200</v>
      </c>
      <c r="I24" s="22" t="n">
        <f aca="false">-Assumptions!$B$37</f>
        <v>-200</v>
      </c>
      <c r="J24" s="22" t="n">
        <f aca="false">-Assumptions!$B$37</f>
        <v>-200</v>
      </c>
      <c r="K24" s="22" t="n">
        <f aca="false">-Assumptions!$B$37</f>
        <v>-200</v>
      </c>
      <c r="L24" s="22" t="n">
        <f aca="false">-Assumptions!$B$37</f>
        <v>-200</v>
      </c>
      <c r="M24" s="22" t="n">
        <f aca="false">-Assumptions!$B$37</f>
        <v>-200</v>
      </c>
      <c r="N24" s="22" t="n">
        <f aca="false">-Assumptions!$B$37</f>
        <v>-200</v>
      </c>
      <c r="O24" s="22" t="n">
        <f aca="false">-Assumptions!$B$37</f>
        <v>-200</v>
      </c>
      <c r="P24" s="22" t="n">
        <f aca="false">-Assumptions!$B$37</f>
        <v>-200</v>
      </c>
      <c r="Q24" s="22" t="n">
        <f aca="false">-Assumptions!$B$37</f>
        <v>-200</v>
      </c>
      <c r="R24" s="22" t="n">
        <f aca="false">-Assumptions!$B$37</f>
        <v>-200</v>
      </c>
      <c r="S24" s="22" t="n">
        <f aca="false">-Assumptions!$B$37</f>
        <v>-200</v>
      </c>
      <c r="T24" s="22" t="n">
        <f aca="false">-Assumptions!$B$37</f>
        <v>-200</v>
      </c>
      <c r="U24" s="22" t="n">
        <f aca="false">-Assumptions!$B$37</f>
        <v>-200</v>
      </c>
      <c r="V24" s="22" t="n">
        <f aca="false">-Assumptions!$B$37</f>
        <v>-200</v>
      </c>
      <c r="W24" s="22" t="n">
        <f aca="false">-Assumptions!$B$37</f>
        <v>-200</v>
      </c>
      <c r="X24" s="22" t="n">
        <f aca="false">-Assumptions!$B$37</f>
        <v>-200</v>
      </c>
      <c r="Y24" s="22" t="n">
        <f aca="false">-Assumptions!$B$37</f>
        <v>-200</v>
      </c>
      <c r="Z24" s="22" t="n">
        <f aca="false">-Assumptions!$B$37</f>
        <v>-200</v>
      </c>
      <c r="AA24" s="22" t="n">
        <f aca="false">-Assumptions!$B$37</f>
        <v>-200</v>
      </c>
      <c r="AB24" s="22" t="n">
        <f aca="false">-Assumptions!$B$37</f>
        <v>-200</v>
      </c>
      <c r="AC24" s="22" t="n">
        <f aca="false">-Assumptions!$B$37</f>
        <v>-200</v>
      </c>
      <c r="AD24" s="22" t="n">
        <f aca="false">-Assumptions!$B$37</f>
        <v>-200</v>
      </c>
      <c r="AE24" s="22" t="n">
        <f aca="false">-Assumptions!$B$37</f>
        <v>-200</v>
      </c>
      <c r="AF24" s="22" t="n">
        <f aca="false">-Assumptions!$B$37</f>
        <v>-200</v>
      </c>
      <c r="AG24" s="22" t="n">
        <f aca="false">-Assumptions!$B$37</f>
        <v>-200</v>
      </c>
      <c r="AH24" s="22" t="n">
        <f aca="false">-Assumptions!$B$37</f>
        <v>-200</v>
      </c>
      <c r="AI24" s="22" t="n">
        <f aca="false">-Assumptions!$B$37</f>
        <v>-200</v>
      </c>
      <c r="AJ24" s="22" t="n">
        <f aca="false">-Assumptions!$B$37</f>
        <v>-200</v>
      </c>
      <c r="AK24" s="22" t="n">
        <f aca="false">-Assumptions!$B$37</f>
        <v>-200</v>
      </c>
      <c r="AL24" s="22" t="n">
        <f aca="false">-Assumptions!$B$37</f>
        <v>-200</v>
      </c>
      <c r="AM24" s="40" t="n">
        <f aca="false">SUM(C24:N24)</f>
        <v>-2400</v>
      </c>
      <c r="AN24" s="40" t="n">
        <f aca="false">SUM(O24:Z24)</f>
        <v>-2400</v>
      </c>
      <c r="AO24" s="40" t="n">
        <f aca="false">SUM(AA24:AL24)</f>
        <v>-2400</v>
      </c>
    </row>
    <row r="25" customFormat="false" ht="15" hidden="false" customHeight="false" outlineLevel="0" collapsed="false">
      <c r="A25" s="20" t="s">
        <v>553</v>
      </c>
      <c r="C25" s="23" t="n">
        <f aca="false">C13+C15+C16+C17+C18+C19+C20+C21+C22+C23+C24</f>
        <v>-11957.7625775607</v>
      </c>
      <c r="D25" s="23" t="n">
        <f aca="false">D13+D15+D16+D17+D18+D19+D20+D21+D22+D23+D24</f>
        <v>-9898.58508461256</v>
      </c>
      <c r="E25" s="23" t="n">
        <f aca="false">E13+E15+E16+E17+E18+E19+E20+E21+E22+E23+E24</f>
        <v>-8861.06635082891</v>
      </c>
      <c r="F25" s="23" t="n">
        <f aca="false">F13+F15+F16+F17+F18+F19+F20+F21+F22+F23+F24</f>
        <v>-6736.52554146801</v>
      </c>
      <c r="G25" s="23" t="n">
        <f aca="false">G13+G15+G16+G17+G18+G19+G20+G21+G22+G23+G24</f>
        <v>-5099.60576989574</v>
      </c>
      <c r="H25" s="23" t="n">
        <f aca="false">H13+H15+H16+H17+H18+H19+H20+H21+H22+H23+H24</f>
        <v>-8723.47916034352</v>
      </c>
      <c r="I25" s="23" t="n">
        <f aca="false">I13+I15+I16+I17+I18+I19+I20+I21+I22+I23+I24</f>
        <v>-5645.46345061006</v>
      </c>
      <c r="J25" s="23" t="n">
        <f aca="false">J13+J15+J16+J17+J18+J19+J20+J21+J22+J23+J24</f>
        <v>-4905.80039475341</v>
      </c>
      <c r="K25" s="23" t="n">
        <f aca="false">K13+K15+K16+K17+K18+K19+K20+K21+K22+K23+K24</f>
        <v>-2924.2155743906</v>
      </c>
      <c r="L25" s="23" t="n">
        <f aca="false">L13+L15+L16+L17+L18+L19+L20+L21+L22+L23+L24</f>
        <v>-2543.27947691244</v>
      </c>
      <c r="M25" s="23" t="n">
        <f aca="false">M13+M15+M16+M17+M18+M19+M20+M21+M22+M23+M24</f>
        <v>-586.907698171131</v>
      </c>
      <c r="N25" s="23" t="n">
        <f aca="false">N13+N15+N16+N17+N18+N19+N20+N21+N22+N23+N24</f>
        <v>745.771239938602</v>
      </c>
      <c r="O25" s="23" t="n">
        <f aca="false">O13+O15+O16+O17+O18+O19+O20+O21+O22+O23+O24</f>
        <v>-1852.94428769102</v>
      </c>
      <c r="P25" s="23" t="n">
        <f aca="false">P13+P15+P16+P17+P18+P19+P20+P21+P22+P23+P24</f>
        <v>477.647948517539</v>
      </c>
      <c r="Q25" s="23" t="n">
        <f aca="false">Q13+Q15+Q16+Q17+Q18+Q19+Q20+Q21+Q22+Q23+Q24</f>
        <v>724.391324342081</v>
      </c>
      <c r="R25" s="23" t="n">
        <f aca="false">R13+R15+R16+R17+R18+R19+R20+R21+R22+R23+R24</f>
        <v>3100.37146870576</v>
      </c>
      <c r="S25" s="23" t="n">
        <f aca="false">S13+S15+S16+S17+S18+S19+S20+S21+S22+S23+S24</f>
        <v>4467.62322879987</v>
      </c>
      <c r="T25" s="23" t="n">
        <f aca="false">T13+T15+T16+T17+T18+T19+T20+T21+T22+T23+T24</f>
        <v>3450.40449588948</v>
      </c>
      <c r="U25" s="23" t="n">
        <f aca="false">U13+U15+U16+U17+U18+U19+U20+U21+U22+U23+U24</f>
        <v>7236.14674898809</v>
      </c>
      <c r="V25" s="23" t="n">
        <f aca="false">V13+V15+V16+V17+V18+V19+V20+V21+V22+V23+V24</f>
        <v>7385.21535442484</v>
      </c>
      <c r="W25" s="23" t="n">
        <f aca="false">W13+W15+W16+W17+W18+W19+W20+W21+W22+W23+W24</f>
        <v>10026.5402691763</v>
      </c>
      <c r="X25" s="23" t="n">
        <f aca="false">X13+X15+X16+X17+X18+X19+X20+X21+X22+X23+X24</f>
        <v>9814.32096645795</v>
      </c>
      <c r="Y25" s="23" t="n">
        <f aca="false">Y13+Y15+Y16+Y17+Y18+Y19+Y20+Y21+Y22+Y23+Y24</f>
        <v>12432.9937893646</v>
      </c>
      <c r="Z25" s="23" t="n">
        <f aca="false">Z13+Z15+Z16+Z17+Z18+Z19+Z20+Z21+Z22+Z23+Z24</f>
        <v>13800.2455494587</v>
      </c>
      <c r="AA25" s="23" t="n">
        <f aca="false">AA13+AA15+AA16+AA17+AA18+AA19+AA20+AA21+AA22+AA23+AA24</f>
        <v>4430.70802878708</v>
      </c>
      <c r="AB25" s="23" t="n">
        <f aca="false">AB13+AB15+AB16+AB17+AB18+AB19+AB20+AB21+AB22+AB23+AB24</f>
        <v>7442.80843248558</v>
      </c>
      <c r="AC25" s="23" t="n">
        <f aca="false">AC13+AC15+AC16+AC17+AC18+AC19+AC20+AC21+AC22+AC23+AC24</f>
        <v>7074.62833501231</v>
      </c>
      <c r="AD25" s="23" t="n">
        <f aca="false">AD13+AD15+AD16+AD17+AD18+AD19+AD20+AD21+AD22+AD23+AD24</f>
        <v>10134.6775966426</v>
      </c>
      <c r="AE25" s="23" t="n">
        <f aca="false">AE13+AE15+AE16+AE17+AE18+AE19+AE20+AE21+AE22+AE23+AE24</f>
        <v>11536.5021787211</v>
      </c>
      <c r="AF25" s="23" t="n">
        <f aca="false">AF13+AF15+AF16+AF17+AF18+AF19+AF20+AF21+AF22+AF23+AF24</f>
        <v>7399.17786145145</v>
      </c>
      <c r="AG25" s="23" t="n">
        <f aca="false">AG13+AG15+AG16+AG17+AG18+AG19+AG20+AG21+AG22+AG23+AG24</f>
        <v>14374.171342878</v>
      </c>
      <c r="AH25" s="23" t="n">
        <f aca="false">AH13+AH15+AH16+AH17+AH18+AH19+AH20+AH21+AH22+AH23+AH24</f>
        <v>13901.9141005754</v>
      </c>
      <c r="AI25" s="23" t="n">
        <f aca="false">AI13+AI15+AI16+AI17+AI18+AI19+AI20+AI21+AI22+AI23+AI24</f>
        <v>17233.710507035</v>
      </c>
      <c r="AJ25" s="23" t="n">
        <f aca="false">AJ13+AJ15+AJ16+AJ17+AJ18+AJ19+AJ20+AJ21+AJ22+AJ23+AJ24</f>
        <v>16397.6044068006</v>
      </c>
      <c r="AK25" s="23" t="n">
        <f aca="false">AK13+AK15+AK16+AK17+AK18+AK19+AK20+AK21+AK22+AK23+AK24</f>
        <v>19709.309671192</v>
      </c>
      <c r="AL25" s="23" t="n">
        <f aca="false">AL13+AL15+AL16+AL17+AL18+AL19+AL20+AL21+AL22+AL23+AL24</f>
        <v>21111.1342532705</v>
      </c>
      <c r="AM25" s="39" t="n">
        <f aca="false">SUM(C25:N25)</f>
        <v>-67136.9198396085</v>
      </c>
      <c r="AN25" s="39" t="n">
        <f aca="false">SUM(O25:Z25)</f>
        <v>71062.9568564341</v>
      </c>
      <c r="AO25" s="39" t="n">
        <f aca="false">SUM(AA25:AL25)</f>
        <v>150746.346714852</v>
      </c>
    </row>
    <row r="26" customFormat="false" ht="15" hidden="false" customHeight="false" outlineLevel="0" collapsed="false">
      <c r="A26" s="6" t="s">
        <v>554</v>
      </c>
      <c r="C26" s="41" t="n">
        <f aca="false">IF(C10=0,0,C25/C10)</f>
        <v>-0.897936284204819</v>
      </c>
      <c r="D26" s="41" t="n">
        <f aca="false">IF(D10=0,0,D25/D10)</f>
        <v>-0.622415585199866</v>
      </c>
      <c r="E26" s="41" t="n">
        <f aca="false">IF(E10=0,0,E25/E10)</f>
        <v>-0.511844724073069</v>
      </c>
      <c r="F26" s="41" t="n">
        <f aca="false">IF(F10=0,0,F25/F10)</f>
        <v>-0.33594883329672</v>
      </c>
      <c r="G26" s="41" t="n">
        <f aca="false">IF(G10=0,0,G25/G10)</f>
        <v>-0.230473925994879</v>
      </c>
      <c r="H26" s="41" t="n">
        <f aca="false">IF(H10=0,0,H25/H10)</f>
        <v>-0.486620752971159</v>
      </c>
      <c r="I26" s="41" t="n">
        <f aca="false">IF(I10=0,0,I25/I10)</f>
        <v>-0.257829391621121</v>
      </c>
      <c r="J26" s="41" t="n">
        <f aca="false">IF(J10=0,0,J25/J10)</f>
        <v>-0.215641753018087</v>
      </c>
      <c r="K26" s="41" t="n">
        <f aca="false">IF(K10=0,0,K25/K10)</f>
        <v>-0.115338189464326</v>
      </c>
      <c r="L26" s="41" t="n">
        <f aca="false">IF(L10=0,0,L25/L10)</f>
        <v>-0.0975221046564142</v>
      </c>
      <c r="M26" s="41" t="n">
        <f aca="false">IF(M10=0,0,M25/M10)</f>
        <v>-0.0203711816791686</v>
      </c>
      <c r="N26" s="41" t="n">
        <f aca="false">IF(N10=0,0,N25/N10)</f>
        <v>0.0244200293691335</v>
      </c>
      <c r="O26" s="41" t="n">
        <f aca="false">IF(O10=0,0,O25/O10)</f>
        <v>-0.0596322465751266</v>
      </c>
      <c r="P26" s="41" t="n">
        <f aca="false">IF(P10=0,0,P25/P10)</f>
        <v>0.0140498706376348</v>
      </c>
      <c r="Q26" s="41" t="n">
        <f aca="false">IF(Q10=0,0,Q25/Q10)</f>
        <v>0.0210566068004647</v>
      </c>
      <c r="R26" s="41" t="n">
        <f aca="false">IF(R10=0,0,R25/R10)</f>
        <v>0.0827783556986295</v>
      </c>
      <c r="S26" s="41" t="n">
        <f aca="false">IF(S10=0,0,S25/S10)</f>
        <v>0.114020790601962</v>
      </c>
      <c r="T26" s="41" t="n">
        <f aca="false">IF(T10=0,0,T25/T10)</f>
        <v>0.0910860435258131</v>
      </c>
      <c r="U26" s="41" t="n">
        <f aca="false">IF(U10=0,0,U25/U10)</f>
        <v>0.169703995101813</v>
      </c>
      <c r="V26" s="41" t="n">
        <f aca="false">IF(V10=0,0,V25/V10)</f>
        <v>0.172853936869701</v>
      </c>
      <c r="W26" s="41" t="n">
        <f aca="false">IF(W10=0,0,W25/W10)</f>
        <v>0.21750915228383</v>
      </c>
      <c r="X26" s="41" t="n">
        <f aca="false">IF(X10=0,0,X25/X10)</f>
        <v>0.213102724022375</v>
      </c>
      <c r="Y26" s="41" t="n">
        <f aca="false">IF(Y10=0,0,Y25/Y10)</f>
        <v>0.250895970176492</v>
      </c>
      <c r="Z26" s="41" t="n">
        <f aca="false">IF(Z10=0,0,Z25/Z10)</f>
        <v>0.26909970871574</v>
      </c>
      <c r="AA26" s="41" t="n">
        <f aca="false">IF(AA10=0,0,AA25/AA10)</f>
        <v>0.0867944871639395</v>
      </c>
      <c r="AB26" s="41" t="n">
        <f aca="false">IF(AB10=0,0,AB25/AB10)</f>
        <v>0.135965791782281</v>
      </c>
      <c r="AC26" s="41" t="n">
        <f aca="false">IF(AC10=0,0,AC25/AC10)</f>
        <v>0.130102124988963</v>
      </c>
      <c r="AD26" s="41" t="n">
        <f aca="false">IF(AD10=0,0,AD25/AD10)</f>
        <v>0.174142583882249</v>
      </c>
      <c r="AE26" s="41" t="n">
        <f aca="false">IF(AE10=0,0,AE25/AE10)</f>
        <v>0.192511746275285</v>
      </c>
      <c r="AF26" s="41" t="n">
        <f aca="false">IF(AF10=0,0,AF25/AF10)</f>
        <v>0.135010837772234</v>
      </c>
      <c r="AG26" s="41" t="n">
        <f aca="false">IF(AG10=0,0,AG25/AG10)</f>
        <v>0.226780940811185</v>
      </c>
      <c r="AH26" s="41" t="n">
        <f aca="false">IF(AH10=0,0,AH25/AH10)</f>
        <v>0.221719042179261</v>
      </c>
      <c r="AI26" s="41" t="n">
        <f aca="false">IF(AI10=0,0,AI25/AI10)</f>
        <v>0.257832241675885</v>
      </c>
      <c r="AJ26" s="41" t="n">
        <f aca="false">IF(AJ10=0,0,AJ25/AJ10)</f>
        <v>0.248336342194509</v>
      </c>
      <c r="AK26" s="41" t="n">
        <f aca="false">IF(AK10=0,0,AK25/AK10)</f>
        <v>0.280367715466185</v>
      </c>
      <c r="AL26" s="41" t="n">
        <f aca="false">IF(AL10=0,0,AL25/AL10)</f>
        <v>0.293101455419176</v>
      </c>
      <c r="AM26" s="42" t="n">
        <f aca="false">IF(SUM(C10:N10)=0,0,SUM(C25:N25)/SUM(C10:N10))</f>
        <v>-0.256182997855799</v>
      </c>
      <c r="AN26" s="42" t="n">
        <f aca="false">IF(SUM(O10:Z10)=0,0,SUM(O25:Z25)/SUM(O10:Z10))</f>
        <v>0.14433639835817</v>
      </c>
      <c r="AO26" s="42" t="n">
        <f aca="false">IF(SUM(AA10:AL10)=0,0,SUM(AA25:AL25)/SUM(AA10:AL10))</f>
        <v>0.205271987314302</v>
      </c>
    </row>
    <row r="27" customFormat="false" ht="15" hidden="false" customHeight="false" outlineLevel="0" collapsed="false">
      <c r="A27" s="6" t="s">
        <v>555</v>
      </c>
      <c r="C27" s="22" t="n">
        <f aca="false">-Machinery!B$49</f>
        <v>-3048.9417989418</v>
      </c>
      <c r="D27" s="22" t="n">
        <f aca="false">-Machinery!C$49</f>
        <v>-3048.9417989418</v>
      </c>
      <c r="E27" s="22" t="n">
        <f aca="false">-Machinery!D$49</f>
        <v>-3048.9417989418</v>
      </c>
      <c r="F27" s="22" t="n">
        <f aca="false">-Machinery!E$49</f>
        <v>-3048.9417989418</v>
      </c>
      <c r="G27" s="22" t="n">
        <f aca="false">-Machinery!F$49</f>
        <v>-3048.9417989418</v>
      </c>
      <c r="H27" s="22" t="n">
        <f aca="false">-Machinery!G$49</f>
        <v>-3048.9417989418</v>
      </c>
      <c r="I27" s="22" t="n">
        <f aca="false">-Machinery!H$49</f>
        <v>-3048.9417989418</v>
      </c>
      <c r="J27" s="22" t="n">
        <f aca="false">-Machinery!I$49</f>
        <v>-3048.9417989418</v>
      </c>
      <c r="K27" s="22" t="n">
        <f aca="false">-Machinery!J$49</f>
        <v>-3048.9417989418</v>
      </c>
      <c r="L27" s="22" t="n">
        <f aca="false">-Machinery!K$49</f>
        <v>-3048.9417989418</v>
      </c>
      <c r="M27" s="22" t="n">
        <f aca="false">-Machinery!L$49</f>
        <v>-3048.9417989418</v>
      </c>
      <c r="N27" s="22" t="n">
        <f aca="false">-Machinery!M$49</f>
        <v>-3048.9417989418</v>
      </c>
      <c r="O27" s="22" t="n">
        <f aca="false">-Machinery!N$49</f>
        <v>-3048.9417989418</v>
      </c>
      <c r="P27" s="22" t="n">
        <f aca="false">-Machinery!O$49</f>
        <v>-3048.9417989418</v>
      </c>
      <c r="Q27" s="22" t="n">
        <f aca="false">-Machinery!P$49</f>
        <v>-3048.9417989418</v>
      </c>
      <c r="R27" s="22" t="n">
        <f aca="false">-Machinery!Q$49</f>
        <v>-3048.9417989418</v>
      </c>
      <c r="S27" s="22" t="n">
        <f aca="false">-Machinery!R$49</f>
        <v>-3048.9417989418</v>
      </c>
      <c r="T27" s="22" t="n">
        <f aca="false">-Machinery!S$49</f>
        <v>-3048.9417989418</v>
      </c>
      <c r="U27" s="22" t="n">
        <f aca="false">-Machinery!T$49</f>
        <v>-3048.9417989418</v>
      </c>
      <c r="V27" s="22" t="n">
        <f aca="false">-Machinery!U$49</f>
        <v>-3048.9417989418</v>
      </c>
      <c r="W27" s="22" t="n">
        <f aca="false">-Machinery!V$49</f>
        <v>-3048.9417989418</v>
      </c>
      <c r="X27" s="22" t="n">
        <f aca="false">-Machinery!W$49</f>
        <v>-3048.9417989418</v>
      </c>
      <c r="Y27" s="22" t="n">
        <f aca="false">-Machinery!X$49</f>
        <v>-3048.9417989418</v>
      </c>
      <c r="Z27" s="22" t="n">
        <f aca="false">-Machinery!Y$49</f>
        <v>-3048.9417989418</v>
      </c>
      <c r="AA27" s="22" t="n">
        <f aca="false">-Machinery!Z$49</f>
        <v>-3048.9417989418</v>
      </c>
      <c r="AB27" s="22" t="n">
        <f aca="false">-Machinery!AA$49</f>
        <v>-3048.9417989418</v>
      </c>
      <c r="AC27" s="22" t="n">
        <f aca="false">-Machinery!AB$49</f>
        <v>-3048.9417989418</v>
      </c>
      <c r="AD27" s="22" t="n">
        <f aca="false">-Machinery!AC$49</f>
        <v>-3048.9417989418</v>
      </c>
      <c r="AE27" s="22" t="n">
        <f aca="false">-Machinery!AD$49</f>
        <v>-3048.9417989418</v>
      </c>
      <c r="AF27" s="22" t="n">
        <f aca="false">-Machinery!AE$49</f>
        <v>-3048.9417989418</v>
      </c>
      <c r="AG27" s="22" t="n">
        <f aca="false">-Machinery!AF$49</f>
        <v>-3048.9417989418</v>
      </c>
      <c r="AH27" s="22" t="n">
        <f aca="false">-Machinery!AG$49</f>
        <v>-3048.9417989418</v>
      </c>
      <c r="AI27" s="22" t="n">
        <f aca="false">-Machinery!AH$49</f>
        <v>-3048.9417989418</v>
      </c>
      <c r="AJ27" s="22" t="n">
        <f aca="false">-Machinery!AI$49</f>
        <v>-3048.9417989418</v>
      </c>
      <c r="AK27" s="22" t="n">
        <f aca="false">-Machinery!AJ$49</f>
        <v>-3048.9417989418</v>
      </c>
      <c r="AL27" s="22" t="n">
        <f aca="false">-Machinery!AK$49</f>
        <v>-3048.9417989418</v>
      </c>
      <c r="AM27" s="40" t="n">
        <f aca="false">SUM(C27:N27)</f>
        <v>-36587.3015873016</v>
      </c>
      <c r="AN27" s="40" t="n">
        <f aca="false">SUM(O27:Z27)</f>
        <v>-36587.3015873016</v>
      </c>
      <c r="AO27" s="40" t="n">
        <f aca="false">SUM(AA27:AL27)</f>
        <v>-36587.3015873016</v>
      </c>
    </row>
    <row r="28" customFormat="false" ht="15" hidden="false" customHeight="false" outlineLevel="0" collapsed="false">
      <c r="A28" s="6" t="s">
        <v>556</v>
      </c>
      <c r="C28" s="22" t="n">
        <f aca="false">-Machinery!B$50</f>
        <v>-0</v>
      </c>
      <c r="D28" s="22" t="n">
        <f aca="false">-Machinery!C$50</f>
        <v>-0</v>
      </c>
      <c r="E28" s="22" t="n">
        <f aca="false">-Machinery!D$50</f>
        <v>-0</v>
      </c>
      <c r="F28" s="22" t="n">
        <f aca="false">-Machinery!E$50</f>
        <v>-0</v>
      </c>
      <c r="G28" s="22" t="n">
        <f aca="false">-Machinery!F$50</f>
        <v>-0</v>
      </c>
      <c r="H28" s="22" t="n">
        <f aca="false">-Machinery!G$50</f>
        <v>-133.333333333333</v>
      </c>
      <c r="I28" s="22" t="n">
        <f aca="false">-Machinery!H$50</f>
        <v>-133.333333333333</v>
      </c>
      <c r="J28" s="22" t="n">
        <f aca="false">-Machinery!I$50</f>
        <v>-133.333333333333</v>
      </c>
      <c r="K28" s="22" t="n">
        <f aca="false">-Machinery!J$50</f>
        <v>-133.333333333333</v>
      </c>
      <c r="L28" s="22" t="n">
        <f aca="false">-Machinery!K$50</f>
        <v>-133.333333333333</v>
      </c>
      <c r="M28" s="22" t="n">
        <f aca="false">-Machinery!L$50</f>
        <v>-133.333333333333</v>
      </c>
      <c r="N28" s="22" t="n">
        <f aca="false">-Machinery!M$50</f>
        <v>-133.333333333333</v>
      </c>
      <c r="O28" s="22" t="n">
        <f aca="false">-Machinery!N$50</f>
        <v>-133.333333333333</v>
      </c>
      <c r="P28" s="22" t="n">
        <f aca="false">-Machinery!O$50</f>
        <v>-133.333333333333</v>
      </c>
      <c r="Q28" s="22" t="n">
        <f aca="false">-Machinery!P$50</f>
        <v>-133.333333333333</v>
      </c>
      <c r="R28" s="22" t="n">
        <f aca="false">-Machinery!Q$50</f>
        <v>-133.333333333333</v>
      </c>
      <c r="S28" s="22" t="n">
        <f aca="false">-Machinery!R$50</f>
        <v>-133.333333333333</v>
      </c>
      <c r="T28" s="22" t="n">
        <f aca="false">-Machinery!S$50</f>
        <v>-133.333333333333</v>
      </c>
      <c r="U28" s="22" t="n">
        <f aca="false">-Machinery!T$50</f>
        <v>-133.333333333333</v>
      </c>
      <c r="V28" s="22" t="n">
        <f aca="false">-Machinery!U$50</f>
        <v>-133.333333333333</v>
      </c>
      <c r="W28" s="22" t="n">
        <f aca="false">-Machinery!V$50</f>
        <v>-133.333333333333</v>
      </c>
      <c r="X28" s="22" t="n">
        <f aca="false">-Machinery!W$50</f>
        <v>-133.333333333333</v>
      </c>
      <c r="Y28" s="22" t="n">
        <f aca="false">-Machinery!X$50</f>
        <v>-133.333333333333</v>
      </c>
      <c r="Z28" s="22" t="n">
        <f aca="false">-Machinery!Y$50</f>
        <v>-133.333333333333</v>
      </c>
      <c r="AA28" s="22" t="n">
        <f aca="false">-Machinery!Z$50</f>
        <v>-133.333333333333</v>
      </c>
      <c r="AB28" s="22" t="n">
        <f aca="false">-Machinery!AA$50</f>
        <v>-133.333333333333</v>
      </c>
      <c r="AC28" s="22" t="n">
        <f aca="false">-Machinery!AB$50</f>
        <v>-133.333333333333</v>
      </c>
      <c r="AD28" s="22" t="n">
        <f aca="false">-Machinery!AC$50</f>
        <v>-133.333333333333</v>
      </c>
      <c r="AE28" s="22" t="n">
        <f aca="false">-Machinery!AD$50</f>
        <v>-133.333333333333</v>
      </c>
      <c r="AF28" s="22" t="n">
        <f aca="false">-Machinery!AE$50</f>
        <v>-133.333333333333</v>
      </c>
      <c r="AG28" s="22" t="n">
        <f aca="false">-Machinery!AF$50</f>
        <v>-133.333333333333</v>
      </c>
      <c r="AH28" s="22" t="n">
        <f aca="false">-Machinery!AG$50</f>
        <v>-133.333333333333</v>
      </c>
      <c r="AI28" s="22" t="n">
        <f aca="false">-Machinery!AH$50</f>
        <v>-133.333333333333</v>
      </c>
      <c r="AJ28" s="22" t="n">
        <f aca="false">-Machinery!AI$50</f>
        <v>-133.333333333333</v>
      </c>
      <c r="AK28" s="22" t="n">
        <f aca="false">-Machinery!AJ$50</f>
        <v>-133.333333333333</v>
      </c>
      <c r="AL28" s="22" t="n">
        <f aca="false">-Machinery!AK$50</f>
        <v>-133.333333333333</v>
      </c>
      <c r="AM28" s="40" t="n">
        <f aca="false">SUM(C28:N28)</f>
        <v>-933.333333333333</v>
      </c>
      <c r="AN28" s="40" t="n">
        <f aca="false">SUM(O28:Z28)</f>
        <v>-1600</v>
      </c>
      <c r="AO28" s="40" t="n">
        <f aca="false">SUM(AA28:AL28)</f>
        <v>-1600</v>
      </c>
    </row>
    <row r="29" customFormat="false" ht="15" hidden="false" customHeight="false" outlineLevel="0" collapsed="false">
      <c r="A29" s="20" t="s">
        <v>557</v>
      </c>
      <c r="C29" s="22" t="n">
        <f aca="false">C25+C27+C28</f>
        <v>-15006.7043765025</v>
      </c>
      <c r="D29" s="22" t="n">
        <f aca="false">D25+D27+D28</f>
        <v>-12947.5268835544</v>
      </c>
      <c r="E29" s="22" t="n">
        <f aca="false">E25+E27+E28</f>
        <v>-11910.0081497707</v>
      </c>
      <c r="F29" s="22" t="n">
        <f aca="false">F25+F27+F28</f>
        <v>-9785.46734040981</v>
      </c>
      <c r="G29" s="22" t="n">
        <f aca="false">G25+G27+G28</f>
        <v>-8148.54756883753</v>
      </c>
      <c r="H29" s="22" t="n">
        <f aca="false">H25+H27+H28</f>
        <v>-11905.7542926186</v>
      </c>
      <c r="I29" s="22" t="n">
        <f aca="false">I25+I27+I28</f>
        <v>-8827.73858288519</v>
      </c>
      <c r="J29" s="22" t="n">
        <f aca="false">J25+J27+J28</f>
        <v>-8088.07552702854</v>
      </c>
      <c r="K29" s="22" t="n">
        <f aca="false">K25+K27+K28</f>
        <v>-6106.49070666573</v>
      </c>
      <c r="L29" s="22" t="n">
        <f aca="false">L25+L27+L28</f>
        <v>-5725.55460918757</v>
      </c>
      <c r="M29" s="22" t="n">
        <f aca="false">M25+M27+M28</f>
        <v>-3769.18283044626</v>
      </c>
      <c r="N29" s="22" t="n">
        <f aca="false">N25+N27+N28</f>
        <v>-2436.50389233653</v>
      </c>
      <c r="O29" s="22" t="n">
        <f aca="false">O25+O27+O28</f>
        <v>-5035.21941996615</v>
      </c>
      <c r="P29" s="22" t="n">
        <f aca="false">P25+P27+P28</f>
        <v>-2704.62718375759</v>
      </c>
      <c r="Q29" s="22" t="n">
        <f aca="false">Q25+Q27+Q28</f>
        <v>-2457.88380793305</v>
      </c>
      <c r="R29" s="22" t="n">
        <f aca="false">R25+R27+R28</f>
        <v>-81.9036635693709</v>
      </c>
      <c r="S29" s="22" t="n">
        <f aca="false">S25+S27+S28</f>
        <v>1285.34809652474</v>
      </c>
      <c r="T29" s="22" t="n">
        <f aca="false">T25+T27+T28</f>
        <v>268.129363614349</v>
      </c>
      <c r="U29" s="22" t="n">
        <f aca="false">U25+U27+U28</f>
        <v>4053.87161671296</v>
      </c>
      <c r="V29" s="22" t="n">
        <f aca="false">V25+V27+V28</f>
        <v>4202.94022214971</v>
      </c>
      <c r="W29" s="22" t="n">
        <f aca="false">W25+W27+W28</f>
        <v>6844.26513690119</v>
      </c>
      <c r="X29" s="22" t="n">
        <f aca="false">X25+X27+X28</f>
        <v>6632.04583418282</v>
      </c>
      <c r="Y29" s="22" t="n">
        <f aca="false">Y25+Y27+Y28</f>
        <v>9250.71865708942</v>
      </c>
      <c r="Z29" s="22" t="n">
        <f aca="false">Z25+Z27+Z28</f>
        <v>10617.9704171835</v>
      </c>
      <c r="AA29" s="22" t="n">
        <f aca="false">AA25+AA27+AA28</f>
        <v>1248.43289651195</v>
      </c>
      <c r="AB29" s="22" t="n">
        <f aca="false">AB25+AB27+AB28</f>
        <v>4260.53330021045</v>
      </c>
      <c r="AC29" s="22" t="n">
        <f aca="false">AC25+AC27+AC28</f>
        <v>3892.35320273718</v>
      </c>
      <c r="AD29" s="22" t="n">
        <f aca="false">AD25+AD27+AD28</f>
        <v>6952.40246436742</v>
      </c>
      <c r="AE29" s="22" t="n">
        <f aca="false">AE25+AE27+AE28</f>
        <v>8354.22704644592</v>
      </c>
      <c r="AF29" s="22" t="n">
        <f aca="false">AF25+AF27+AF28</f>
        <v>4216.90272917632</v>
      </c>
      <c r="AG29" s="22" t="n">
        <f aca="false">AG25+AG27+AG28</f>
        <v>11191.8962106029</v>
      </c>
      <c r="AH29" s="22" t="n">
        <f aca="false">AH25+AH27+AH28</f>
        <v>10719.6389683003</v>
      </c>
      <c r="AI29" s="22" t="n">
        <f aca="false">AI25+AI27+AI28</f>
        <v>14051.4353747599</v>
      </c>
      <c r="AJ29" s="22" t="n">
        <f aca="false">AJ25+AJ27+AJ28</f>
        <v>13215.3292745255</v>
      </c>
      <c r="AK29" s="22" t="n">
        <f aca="false">AK25+AK27+AK28</f>
        <v>16527.0345389169</v>
      </c>
      <c r="AL29" s="22" t="n">
        <f aca="false">AL25+AL27+AL28</f>
        <v>17928.8591209954</v>
      </c>
      <c r="AM29" s="39" t="n">
        <f aca="false">SUM(C29:N29)</f>
        <v>-104657.554760243</v>
      </c>
      <c r="AN29" s="39" t="n">
        <f aca="false">SUM(O29:Z29)</f>
        <v>32875.6552691325</v>
      </c>
      <c r="AO29" s="39" t="n">
        <f aca="false">SUM(AA29:AL29)</f>
        <v>112559.04512755</v>
      </c>
    </row>
    <row r="30" customFormat="false" ht="15" hidden="false" customHeight="false" outlineLevel="0" collapsed="false">
      <c r="A30" s="6" t="s">
        <v>558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v>0</v>
      </c>
      <c r="AI30" s="11" t="n">
        <v>0</v>
      </c>
      <c r="AJ30" s="11" t="n">
        <v>0</v>
      </c>
      <c r="AK30" s="11" t="n">
        <v>0</v>
      </c>
      <c r="AL30" s="11" t="n">
        <v>0</v>
      </c>
      <c r="AM30" s="40" t="n">
        <f aca="false">SUM(C30:N30)</f>
        <v>0</v>
      </c>
      <c r="AN30" s="40" t="n">
        <f aca="false">SUM(O30:Z30)</f>
        <v>0</v>
      </c>
      <c r="AO30" s="40" t="n">
        <f aca="false">SUM(AA30:AL30)</f>
        <v>0</v>
      </c>
    </row>
    <row r="31" customFormat="false" ht="15" hidden="false" customHeight="false" outlineLevel="0" collapsed="false">
      <c r="A31" s="20" t="s">
        <v>559</v>
      </c>
      <c r="C31" s="22" t="n">
        <f aca="false">C29+C30</f>
        <v>-15006.7043765025</v>
      </c>
      <c r="D31" s="22" t="n">
        <f aca="false">D29+D30</f>
        <v>-12947.5268835544</v>
      </c>
      <c r="E31" s="22" t="n">
        <f aca="false">E29+E30</f>
        <v>-11910.0081497707</v>
      </c>
      <c r="F31" s="22" t="n">
        <f aca="false">F29+F30</f>
        <v>-9785.46734040981</v>
      </c>
      <c r="G31" s="22" t="n">
        <f aca="false">G29+G30</f>
        <v>-8148.54756883753</v>
      </c>
      <c r="H31" s="22" t="n">
        <f aca="false">H29+H30</f>
        <v>-11905.7542926186</v>
      </c>
      <c r="I31" s="22" t="n">
        <f aca="false">I29+I30</f>
        <v>-8827.73858288519</v>
      </c>
      <c r="J31" s="22" t="n">
        <f aca="false">J29+J30</f>
        <v>-8088.07552702854</v>
      </c>
      <c r="K31" s="22" t="n">
        <f aca="false">K29+K30</f>
        <v>-6106.49070666573</v>
      </c>
      <c r="L31" s="22" t="n">
        <f aca="false">L29+L30</f>
        <v>-5725.55460918757</v>
      </c>
      <c r="M31" s="22" t="n">
        <f aca="false">M29+M30</f>
        <v>-3769.18283044626</v>
      </c>
      <c r="N31" s="22" t="n">
        <f aca="false">N29+N30</f>
        <v>-2436.50389233653</v>
      </c>
      <c r="O31" s="22" t="n">
        <f aca="false">O29+O30</f>
        <v>-5035.21941996615</v>
      </c>
      <c r="P31" s="22" t="n">
        <f aca="false">P29+P30</f>
        <v>-2704.62718375759</v>
      </c>
      <c r="Q31" s="22" t="n">
        <f aca="false">Q29+Q30</f>
        <v>-2457.88380793305</v>
      </c>
      <c r="R31" s="22" t="n">
        <f aca="false">R29+R30</f>
        <v>-81.9036635693709</v>
      </c>
      <c r="S31" s="22" t="n">
        <f aca="false">S29+S30</f>
        <v>1285.34809652474</v>
      </c>
      <c r="T31" s="22" t="n">
        <f aca="false">T29+T30</f>
        <v>268.129363614349</v>
      </c>
      <c r="U31" s="22" t="n">
        <f aca="false">U29+U30</f>
        <v>4053.87161671296</v>
      </c>
      <c r="V31" s="22" t="n">
        <f aca="false">V29+V30</f>
        <v>4202.94022214971</v>
      </c>
      <c r="W31" s="22" t="n">
        <f aca="false">W29+W30</f>
        <v>6844.26513690119</v>
      </c>
      <c r="X31" s="22" t="n">
        <f aca="false">X29+X30</f>
        <v>6632.04583418282</v>
      </c>
      <c r="Y31" s="22" t="n">
        <f aca="false">Y29+Y30</f>
        <v>9250.71865708942</v>
      </c>
      <c r="Z31" s="22" t="n">
        <f aca="false">Z29+Z30</f>
        <v>10617.9704171835</v>
      </c>
      <c r="AA31" s="22" t="n">
        <f aca="false">AA29+AA30</f>
        <v>1248.43289651195</v>
      </c>
      <c r="AB31" s="22" t="n">
        <f aca="false">AB29+AB30</f>
        <v>4260.53330021045</v>
      </c>
      <c r="AC31" s="22" t="n">
        <f aca="false">AC29+AC30</f>
        <v>3892.35320273718</v>
      </c>
      <c r="AD31" s="22" t="n">
        <f aca="false">AD29+AD30</f>
        <v>6952.40246436742</v>
      </c>
      <c r="AE31" s="22" t="n">
        <f aca="false">AE29+AE30</f>
        <v>8354.22704644592</v>
      </c>
      <c r="AF31" s="22" t="n">
        <f aca="false">AF29+AF30</f>
        <v>4216.90272917632</v>
      </c>
      <c r="AG31" s="22" t="n">
        <f aca="false">AG29+AG30</f>
        <v>11191.8962106029</v>
      </c>
      <c r="AH31" s="22" t="n">
        <f aca="false">AH29+AH30</f>
        <v>10719.6389683003</v>
      </c>
      <c r="AI31" s="22" t="n">
        <f aca="false">AI29+AI30</f>
        <v>14051.4353747599</v>
      </c>
      <c r="AJ31" s="22" t="n">
        <f aca="false">AJ29+AJ30</f>
        <v>13215.3292745255</v>
      </c>
      <c r="AK31" s="22" t="n">
        <f aca="false">AK29+AK30</f>
        <v>16527.0345389169</v>
      </c>
      <c r="AL31" s="22" t="n">
        <f aca="false">AL29+AL30</f>
        <v>17928.8591209954</v>
      </c>
      <c r="AM31" s="39" t="n">
        <f aca="false">SUM(C31:N31)</f>
        <v>-104657.554760243</v>
      </c>
      <c r="AN31" s="39" t="n">
        <f aca="false">SUM(O31:Z31)</f>
        <v>32875.6552691325</v>
      </c>
      <c r="AO31" s="39" t="n">
        <f aca="false">SUM(AA31:AL31)</f>
        <v>112559.04512755</v>
      </c>
    </row>
    <row r="32" customFormat="false" ht="15" hidden="false" customHeight="false" outlineLevel="0" collapsed="false">
      <c r="A32" s="6" t="s">
        <v>560</v>
      </c>
      <c r="C32" s="22" t="n">
        <f aca="false">-MAX(0,C31)*Assumptions!$B$46</f>
        <v>-0</v>
      </c>
      <c r="D32" s="22" t="n">
        <f aca="false">-MAX(0,D31)*Assumptions!$B$46</f>
        <v>-0</v>
      </c>
      <c r="E32" s="22" t="n">
        <f aca="false">-MAX(0,E31)*Assumptions!$B$46</f>
        <v>-0</v>
      </c>
      <c r="F32" s="22" t="n">
        <f aca="false">-MAX(0,F31)*Assumptions!$B$46</f>
        <v>-0</v>
      </c>
      <c r="G32" s="22" t="n">
        <f aca="false">-MAX(0,G31)*Assumptions!$B$46</f>
        <v>-0</v>
      </c>
      <c r="H32" s="22" t="n">
        <f aca="false">-MAX(0,H31)*Assumptions!$B$46</f>
        <v>-0</v>
      </c>
      <c r="I32" s="22" t="n">
        <f aca="false">-MAX(0,I31)*Assumptions!$B$46</f>
        <v>-0</v>
      </c>
      <c r="J32" s="22" t="n">
        <f aca="false">-MAX(0,J31)*Assumptions!$B$46</f>
        <v>-0</v>
      </c>
      <c r="K32" s="22" t="n">
        <f aca="false">-MAX(0,K31)*Assumptions!$B$46</f>
        <v>-0</v>
      </c>
      <c r="L32" s="22" t="n">
        <f aca="false">-MAX(0,L31)*Assumptions!$B$46</f>
        <v>-0</v>
      </c>
      <c r="M32" s="22" t="n">
        <f aca="false">-MAX(0,M31)*Assumptions!$B$46</f>
        <v>-0</v>
      </c>
      <c r="N32" s="22" t="n">
        <f aca="false">-MAX(0,N31)*Assumptions!$B$46</f>
        <v>-0</v>
      </c>
      <c r="O32" s="22" t="n">
        <f aca="false">-MAX(0,O31)*Assumptions!$B$46</f>
        <v>-0</v>
      </c>
      <c r="P32" s="22" t="n">
        <f aca="false">-MAX(0,P31)*Assumptions!$B$46</f>
        <v>-0</v>
      </c>
      <c r="Q32" s="22" t="n">
        <f aca="false">-MAX(0,Q31)*Assumptions!$B$46</f>
        <v>-0</v>
      </c>
      <c r="R32" s="22" t="n">
        <f aca="false">-MAX(0,R31)*Assumptions!$B$46</f>
        <v>-0</v>
      </c>
      <c r="S32" s="22" t="n">
        <f aca="false">-MAX(0,S31)*Assumptions!$B$46</f>
        <v>-244.2161383397</v>
      </c>
      <c r="T32" s="22" t="n">
        <f aca="false">-MAX(0,T31)*Assumptions!$B$46</f>
        <v>-50.9445790867263</v>
      </c>
      <c r="U32" s="22" t="n">
        <f aca="false">-MAX(0,U31)*Assumptions!$B$46</f>
        <v>-770.235607175462</v>
      </c>
      <c r="V32" s="22" t="n">
        <f aca="false">-MAX(0,V31)*Assumptions!$B$46</f>
        <v>-798.558642208445</v>
      </c>
      <c r="W32" s="22" t="n">
        <f aca="false">-MAX(0,W31)*Assumptions!$B$46</f>
        <v>-1300.41037601123</v>
      </c>
      <c r="X32" s="22" t="n">
        <f aca="false">-MAX(0,X31)*Assumptions!$B$46</f>
        <v>-1260.08870849474</v>
      </c>
      <c r="Y32" s="22" t="n">
        <f aca="false">-MAX(0,Y31)*Assumptions!$B$46</f>
        <v>-1757.63654484699</v>
      </c>
      <c r="Z32" s="22" t="n">
        <f aca="false">-MAX(0,Z31)*Assumptions!$B$46</f>
        <v>-2017.41437926487</v>
      </c>
      <c r="AA32" s="22" t="n">
        <f aca="false">-MAX(0,AA31)*Assumptions!$B$46</f>
        <v>-237.20225033727</v>
      </c>
      <c r="AB32" s="22" t="n">
        <f aca="false">-MAX(0,AB31)*Assumptions!$B$46</f>
        <v>-809.501327039985</v>
      </c>
      <c r="AC32" s="22" t="n">
        <f aca="false">-MAX(0,AC31)*Assumptions!$B$46</f>
        <v>-739.547108520064</v>
      </c>
      <c r="AD32" s="22" t="n">
        <f aca="false">-MAX(0,AD31)*Assumptions!$B$46</f>
        <v>-1320.95646822981</v>
      </c>
      <c r="AE32" s="22" t="n">
        <f aca="false">-MAX(0,AE31)*Assumptions!$B$46</f>
        <v>-1587.30313882472</v>
      </c>
      <c r="AF32" s="22" t="n">
        <f aca="false">-MAX(0,AF31)*Assumptions!$B$46</f>
        <v>-801.2115185435</v>
      </c>
      <c r="AG32" s="22" t="n">
        <f aca="false">-MAX(0,AG31)*Assumptions!$B$46</f>
        <v>-2126.46028001455</v>
      </c>
      <c r="AH32" s="22" t="n">
        <f aca="false">-MAX(0,AH31)*Assumptions!$B$46</f>
        <v>-2036.73140397705</v>
      </c>
      <c r="AI32" s="22" t="n">
        <f aca="false">-MAX(0,AI31)*Assumptions!$B$46</f>
        <v>-2669.77272120438</v>
      </c>
      <c r="AJ32" s="22" t="n">
        <f aca="false">-MAX(0,AJ31)*Assumptions!$B$46</f>
        <v>-2510.91256215985</v>
      </c>
      <c r="AK32" s="22" t="n">
        <f aca="false">-MAX(0,AK31)*Assumptions!$B$46</f>
        <v>-3140.13656239421</v>
      </c>
      <c r="AL32" s="22" t="n">
        <f aca="false">-MAX(0,AL31)*Assumptions!$B$46</f>
        <v>-3406.48323298912</v>
      </c>
      <c r="AM32" s="43" t="n">
        <f aca="false">-IF(SUM(C31:N31)&lt;=0,0,IF(SUM(C31:N31)&lt;=Assumptions!$C$46,SUM(C31:N31)*Assumptions!$B$46,IF(SUM(C31:N31)&lt;=Assumptions!$C$47,Assumptions!$C$46*Assumptions!$B$46+(SUM(C31:N31)-Assumptions!$C$46)*Assumptions!$B$47,SUM(C31:N31)*Assumptions!$B$48)))</f>
        <v>-0</v>
      </c>
      <c r="AN32" s="43" t="n">
        <f aca="false">-IF(SUM(O31:Z31)&lt;=0,0,IF(SUM(O31:Z31)&lt;=Assumptions!$C$46,SUM(O31:Z31)*Assumptions!$B$46,IF(SUM(O31:Z31)&lt;=Assumptions!$C$47,Assumptions!$C$46*Assumptions!$B$46+(SUM(O31:Z31)-Assumptions!$C$46)*Assumptions!$B$47,SUM(O31:Z31)*Assumptions!$B$48)))</f>
        <v>-6246.37450113518</v>
      </c>
      <c r="AO32" s="43" t="n">
        <f aca="false">-IF(SUM(AA31:AL31)&lt;=0,0,IF(SUM(AA31:AL31)&lt;=Assumptions!$C$46,SUM(AA31:AL31)*Assumptions!$B$46,IF(SUM(AA31:AL31)&lt;=Assumptions!$C$47,Assumptions!$C$46*Assumptions!$B$46+(SUM(AA31:AL31)-Assumptions!$C$46)*Assumptions!$B$47,SUM(AA31:AL31)*Assumptions!$B$48)))</f>
        <v>-26078.1469588008</v>
      </c>
    </row>
    <row r="33" customFormat="false" ht="15" hidden="false" customHeight="false" outlineLevel="0" collapsed="false">
      <c r="A33" s="20" t="s">
        <v>561</v>
      </c>
      <c r="C33" s="40" t="n">
        <f aca="false">C31+C32</f>
        <v>-15006.7043765025</v>
      </c>
      <c r="D33" s="40" t="n">
        <f aca="false">D31+D32</f>
        <v>-12947.5268835544</v>
      </c>
      <c r="E33" s="40" t="n">
        <f aca="false">E31+E32</f>
        <v>-11910.0081497707</v>
      </c>
      <c r="F33" s="40" t="n">
        <f aca="false">F31+F32</f>
        <v>-9785.46734040981</v>
      </c>
      <c r="G33" s="40" t="n">
        <f aca="false">G31+G32</f>
        <v>-8148.54756883753</v>
      </c>
      <c r="H33" s="40" t="n">
        <f aca="false">H31+H32</f>
        <v>-11905.7542926186</v>
      </c>
      <c r="I33" s="40" t="n">
        <f aca="false">I31+I32</f>
        <v>-8827.73858288519</v>
      </c>
      <c r="J33" s="40" t="n">
        <f aca="false">J31+J32</f>
        <v>-8088.07552702854</v>
      </c>
      <c r="K33" s="40" t="n">
        <f aca="false">K31+K32</f>
        <v>-6106.49070666573</v>
      </c>
      <c r="L33" s="40" t="n">
        <f aca="false">L31+L32</f>
        <v>-5725.55460918757</v>
      </c>
      <c r="M33" s="40" t="n">
        <f aca="false">M31+M32</f>
        <v>-3769.18283044626</v>
      </c>
      <c r="N33" s="40" t="n">
        <f aca="false">N31+N32</f>
        <v>-2436.50389233653</v>
      </c>
      <c r="O33" s="40" t="n">
        <f aca="false">O31+O32</f>
        <v>-5035.21941996615</v>
      </c>
      <c r="P33" s="40" t="n">
        <f aca="false">P31+P32</f>
        <v>-2704.62718375759</v>
      </c>
      <c r="Q33" s="40" t="n">
        <f aca="false">Q31+Q32</f>
        <v>-2457.88380793305</v>
      </c>
      <c r="R33" s="40" t="n">
        <f aca="false">R31+R32</f>
        <v>-81.9036635693709</v>
      </c>
      <c r="S33" s="40" t="n">
        <f aca="false">S31+S32</f>
        <v>1041.13195818504</v>
      </c>
      <c r="T33" s="40" t="n">
        <f aca="false">T31+T32</f>
        <v>217.184784527623</v>
      </c>
      <c r="U33" s="40" t="n">
        <f aca="false">U31+U32</f>
        <v>3283.6360095375</v>
      </c>
      <c r="V33" s="40" t="n">
        <f aca="false">V31+V32</f>
        <v>3404.38157994126</v>
      </c>
      <c r="W33" s="40" t="n">
        <f aca="false">W31+W32</f>
        <v>5543.85476088996</v>
      </c>
      <c r="X33" s="40" t="n">
        <f aca="false">X31+X32</f>
        <v>5371.95712568808</v>
      </c>
      <c r="Y33" s="40" t="n">
        <f aca="false">Y31+Y32</f>
        <v>7493.08211224243</v>
      </c>
      <c r="Z33" s="40" t="n">
        <f aca="false">Z31+Z32</f>
        <v>8600.55603791865</v>
      </c>
      <c r="AA33" s="40" t="n">
        <f aca="false">AA31+AA32</f>
        <v>1011.23064617468</v>
      </c>
      <c r="AB33" s="40" t="n">
        <f aca="false">AB31+AB32</f>
        <v>3451.03197317046</v>
      </c>
      <c r="AC33" s="40" t="n">
        <f aca="false">AC31+AC32</f>
        <v>3152.80609421712</v>
      </c>
      <c r="AD33" s="40" t="n">
        <f aca="false">AD31+AD32</f>
        <v>5631.44599613761</v>
      </c>
      <c r="AE33" s="40" t="n">
        <f aca="false">AE31+AE32</f>
        <v>6766.92390762119</v>
      </c>
      <c r="AF33" s="40" t="n">
        <f aca="false">AF31+AF32</f>
        <v>3415.69121063282</v>
      </c>
      <c r="AG33" s="40" t="n">
        <f aca="false">AG31+AG32</f>
        <v>9065.43593058834</v>
      </c>
      <c r="AH33" s="40" t="n">
        <f aca="false">AH31+AH32</f>
        <v>8682.90756432323</v>
      </c>
      <c r="AI33" s="40" t="n">
        <f aca="false">AI31+AI32</f>
        <v>11381.6626535555</v>
      </c>
      <c r="AJ33" s="40" t="n">
        <f aca="false">AJ31+AJ32</f>
        <v>10704.4167123657</v>
      </c>
      <c r="AK33" s="40" t="n">
        <f aca="false">AK31+AK32</f>
        <v>13386.8979765227</v>
      </c>
      <c r="AL33" s="40" t="n">
        <f aca="false">AL31+AL32</f>
        <v>14522.3758880062</v>
      </c>
      <c r="AM33" s="39" t="n">
        <f aca="false">AM31+AM32</f>
        <v>-104657.554760243</v>
      </c>
      <c r="AN33" s="39" t="n">
        <f aca="false">AN31+AN32</f>
        <v>26629.2807679974</v>
      </c>
      <c r="AO33" s="39" t="n">
        <f aca="false">AO31+AO32</f>
        <v>86480.8981687493</v>
      </c>
    </row>
    <row r="34" customFormat="false" ht="15" hidden="false" customHeight="false" outlineLevel="0" collapsed="false">
      <c r="A34" s="6" t="s">
        <v>562</v>
      </c>
      <c r="C34" s="41" t="n">
        <f aca="false">IF(C10=0,0,C33/C10)</f>
        <v>-1.1268884357416</v>
      </c>
      <c r="D34" s="41" t="n">
        <f aca="false">IF(D10=0,0,D33/D10)</f>
        <v>-0.81413075234822</v>
      </c>
      <c r="E34" s="41" t="n">
        <f aca="false">IF(E10=0,0,E33/E10)</f>
        <v>-0.687961763716748</v>
      </c>
      <c r="F34" s="41" t="n">
        <f aca="false">IF(F10=0,0,F33/F10)</f>
        <v>-0.487998793448862</v>
      </c>
      <c r="G34" s="41" t="n">
        <f aca="false">IF(G10=0,0,G33/G10)</f>
        <v>-0.368269202382758</v>
      </c>
      <c r="H34" s="41" t="n">
        <f aca="false">IF(H10=0,0,H33/H10)</f>
        <v>-0.664137210862043</v>
      </c>
      <c r="I34" s="41" t="n">
        <f aca="false">IF(I10=0,0,I33/I10)</f>
        <v>-0.403164503344651</v>
      </c>
      <c r="J34" s="41" t="n">
        <f aca="false">IF(J10=0,0,J33/J10)</f>
        <v>-0.35552338963004</v>
      </c>
      <c r="K34" s="41" t="n">
        <f aca="false">IF(K10=0,0,K33/K10)</f>
        <v>-0.24085487686192</v>
      </c>
      <c r="L34" s="41" t="n">
        <f aca="false">IF(L10=0,0,L33/L10)</f>
        <v>-0.219546511062586</v>
      </c>
      <c r="M34" s="41" t="n">
        <f aca="false">IF(M10=0,0,M33/M10)</f>
        <v>-0.130825866589052</v>
      </c>
      <c r="N34" s="41" t="n">
        <f aca="false">IF(N10=0,0,N33/N10)</f>
        <v>-0.0797825035647185</v>
      </c>
      <c r="O34" s="41" t="n">
        <f aca="false">IF(O10=0,0,O33/O10)</f>
        <v>-0.162045587666021</v>
      </c>
      <c r="P34" s="41" t="n">
        <f aca="false">IF(P10=0,0,P33/P10)</f>
        <v>-0.0795557945402322</v>
      </c>
      <c r="Q34" s="41" t="n">
        <f aca="false">IF(Q10=0,0,Q33/Q10)</f>
        <v>-0.0714457657977624</v>
      </c>
      <c r="R34" s="41" t="n">
        <f aca="false">IF(R10=0,0,R33/R10)</f>
        <v>-0.00218678653974212</v>
      </c>
      <c r="S34" s="41" t="n">
        <f aca="false">IF(S10=0,0,S33/S10)</f>
        <v>0.0265713295221441</v>
      </c>
      <c r="T34" s="41" t="n">
        <f aca="false">IF(T10=0,0,T33/T10)</f>
        <v>0.00573338655227077</v>
      </c>
      <c r="U34" s="41" t="n">
        <f aca="false">IF(U10=0,0,U33/U10)</f>
        <v>0.0770086855074647</v>
      </c>
      <c r="V34" s="41" t="n">
        <f aca="false">IF(V10=0,0,V33/V10)</f>
        <v>0.0796809206581859</v>
      </c>
      <c r="W34" s="41" t="n">
        <f aca="false">IF(W10=0,0,W33/W10)</f>
        <v>0.120264729114274</v>
      </c>
      <c r="X34" s="41" t="n">
        <f aca="false">IF(X10=0,0,X33/X10)</f>
        <v>0.116643698604112</v>
      </c>
      <c r="Y34" s="41" t="n">
        <f aca="false">IF(Y10=0,0,Y33/Y10)</f>
        <v>0.151209285391211</v>
      </c>
      <c r="Z34" s="41" t="n">
        <f aca="false">IF(Z10=0,0,Z33/Z10)</f>
        <v>0.167707677106375</v>
      </c>
      <c r="AA34" s="41" t="n">
        <f aca="false">IF(AA10=0,0,AA33/AA10)</f>
        <v>0.0198093046910196</v>
      </c>
      <c r="AB34" s="41" t="n">
        <f aca="false">IF(AB10=0,0,AB33/AB10)</f>
        <v>0.0630437151452235</v>
      </c>
      <c r="AC34" s="41" t="n">
        <f aca="false">IF(AC10=0,0,AC33/AC10)</f>
        <v>0.0579799747932743</v>
      </c>
      <c r="AD34" s="41" t="n">
        <f aca="false">IF(AD10=0,0,AD33/AD10)</f>
        <v>0.0967642579065</v>
      </c>
      <c r="AE34" s="41" t="n">
        <f aca="false">IF(AE10=0,0,AE33/AE10)</f>
        <v>0.112920911224805</v>
      </c>
      <c r="AF34" s="41" t="n">
        <f aca="false">IF(AF10=0,0,AF33/AF10)</f>
        <v>0.0623252124160088</v>
      </c>
      <c r="AG34" s="41" t="n">
        <f aca="false">IF(AG10=0,0,AG33/AG10)</f>
        <v>0.143025155340239</v>
      </c>
      <c r="AH34" s="41" t="n">
        <f aca="false">IF(AH10=0,0,AH33/AH10)</f>
        <v>0.138482077688361</v>
      </c>
      <c r="AI34" s="41" t="n">
        <f aca="false">IF(AI10=0,0,AI33/AI10)</f>
        <v>0.170280195594964</v>
      </c>
      <c r="AJ34" s="41" t="n">
        <f aca="false">IF(AJ10=0,0,AJ33/AJ10)</f>
        <v>0.162114881279376</v>
      </c>
      <c r="AK34" s="41" t="n">
        <f aca="false">IF(AK10=0,0,AK33/AK10)</f>
        <v>0.190430515602607</v>
      </c>
      <c r="AL34" s="41" t="n">
        <f aca="false">IF(AL10=0,0,AL33/AL10)</f>
        <v>0.201624860978731</v>
      </c>
    </row>
    <row r="36" customFormat="false" ht="15" hidden="false" customHeight="false" outlineLevel="0" collapsed="false">
      <c r="A36" s="6" t="s">
        <v>563</v>
      </c>
      <c r="C36" s="35" t="n">
        <f aca="false">Volumes!C$118</f>
        <v>78.2496</v>
      </c>
      <c r="D36" s="35" t="n">
        <f aca="false">Volumes!D$118</f>
        <v>93.44808</v>
      </c>
      <c r="E36" s="35" t="n">
        <f aca="false">Volumes!E$118</f>
        <v>101.72448</v>
      </c>
      <c r="F36" s="35" t="n">
        <f aca="false">Volumes!F$118</f>
        <v>117.82584</v>
      </c>
      <c r="G36" s="35" t="n">
        <f aca="false">Volumes!G$118</f>
        <v>130.01472</v>
      </c>
      <c r="H36" s="35" t="n">
        <f aca="false">Volumes!H$118</f>
        <v>126.4032</v>
      </c>
      <c r="I36" s="35" t="n">
        <f aca="false">Volumes!I$118</f>
        <v>154.39248</v>
      </c>
      <c r="J36" s="35" t="n">
        <f aca="false">Volumes!J$118</f>
        <v>160.41168</v>
      </c>
      <c r="K36" s="35" t="n">
        <f aca="false">Volumes!K$118</f>
        <v>178.77024</v>
      </c>
      <c r="L36" s="35" t="n">
        <f aca="false">Volumes!L$118</f>
        <v>183.88656</v>
      </c>
      <c r="M36" s="35" t="n">
        <f aca="false">Volumes!M$118</f>
        <v>203.148</v>
      </c>
      <c r="N36" s="35" t="n">
        <f aca="false">Volumes!N$118</f>
        <v>215.33688</v>
      </c>
      <c r="O36" s="35" t="n">
        <f aca="false">Volumes!O$118</f>
        <v>219.09888</v>
      </c>
      <c r="P36" s="35" t="n">
        <f aca="false">Volumes!P$118</f>
        <v>239.71464</v>
      </c>
      <c r="Q36" s="35" t="n">
        <f aca="false">Volumes!Q$118</f>
        <v>242.57376</v>
      </c>
      <c r="R36" s="35" t="n">
        <f aca="false">Volumes!R$118</f>
        <v>264.0924</v>
      </c>
      <c r="S36" s="35" t="n">
        <f aca="false">Volumes!S$118</f>
        <v>276.28128</v>
      </c>
      <c r="T36" s="35" t="n">
        <f aca="false">Volumes!T$118</f>
        <v>267.102</v>
      </c>
      <c r="U36" s="35" t="n">
        <f aca="false">Volumes!U$118</f>
        <v>300.65904</v>
      </c>
      <c r="V36" s="35" t="n">
        <f aca="false">Volumes!V$118</f>
        <v>301.26096</v>
      </c>
      <c r="W36" s="35" t="n">
        <f aca="false">Volumes!W$118</f>
        <v>325.0368</v>
      </c>
      <c r="X36" s="35" t="n">
        <f aca="false">Volumes!X$118</f>
        <v>324.73584</v>
      </c>
      <c r="Y36" s="35" t="n">
        <f aca="false">Volumes!Y$118</f>
        <v>349.41456</v>
      </c>
      <c r="Z36" s="35" t="n">
        <f aca="false">Volumes!Z$118</f>
        <v>361.60344</v>
      </c>
      <c r="AA36" s="35" t="n">
        <f aca="false">Volumes!AA$118</f>
        <v>359.94816</v>
      </c>
      <c r="AB36" s="35" t="n">
        <f aca="false">Volumes!AB$118</f>
        <v>385.9812</v>
      </c>
      <c r="AC36" s="35" t="n">
        <f aca="false">Volumes!AC$118</f>
        <v>383.42304</v>
      </c>
      <c r="AD36" s="35" t="n">
        <f aca="false">Volumes!AD$118</f>
        <v>410.35896</v>
      </c>
      <c r="AE36" s="35" t="n">
        <f aca="false">Volumes!AE$118</f>
        <v>422.54784</v>
      </c>
      <c r="AF36" s="35" t="n">
        <f aca="false">Volumes!AF$118</f>
        <v>386.43264</v>
      </c>
      <c r="AG36" s="35" t="n">
        <f aca="false">Volumes!AG$118</f>
        <v>446.9256</v>
      </c>
      <c r="AH36" s="35" t="n">
        <f aca="false">Volumes!AH$118</f>
        <v>442.11024</v>
      </c>
      <c r="AI36" s="35" t="n">
        <f aca="false">Volumes!AI$118</f>
        <v>471.30336</v>
      </c>
      <c r="AJ36" s="35" t="n">
        <f aca="false">Volumes!AJ$118</f>
        <v>465.58512</v>
      </c>
      <c r="AK36" s="35" t="n">
        <f aca="false">Volumes!AK$118</f>
        <v>495.68112</v>
      </c>
      <c r="AL36" s="35" t="n">
        <f aca="false">Volumes!AL$118</f>
        <v>507.87</v>
      </c>
    </row>
    <row r="37" customFormat="false" ht="15" hidden="false" customHeight="false" outlineLevel="0" collapsed="false">
      <c r="A37" s="6" t="s">
        <v>564</v>
      </c>
      <c r="C37" s="35" t="n">
        <f aca="false">(Assumptions!$B$16+1)*Assumptions!$B$21</f>
        <v>345</v>
      </c>
      <c r="D37" s="35" t="n">
        <f aca="false">(Assumptions!$B$16+1)*Assumptions!$B$21</f>
        <v>345</v>
      </c>
      <c r="E37" s="35" t="n">
        <f aca="false">(Assumptions!$B$16+1)*Assumptions!$B$21</f>
        <v>345</v>
      </c>
      <c r="F37" s="35" t="n">
        <f aca="false">(Assumptions!$B$16+1)*Assumptions!$B$21</f>
        <v>345</v>
      </c>
      <c r="G37" s="35" t="n">
        <f aca="false">(Assumptions!$B$16+1)*Assumptions!$B$21</f>
        <v>345</v>
      </c>
      <c r="H37" s="35" t="n">
        <f aca="false">(Assumptions!$B$16+1)*Assumptions!$B$21</f>
        <v>345</v>
      </c>
      <c r="I37" s="35" t="n">
        <f aca="false">(Assumptions!$B$16+1)*Assumptions!$B$21</f>
        <v>345</v>
      </c>
      <c r="J37" s="35" t="n">
        <f aca="false">(Assumptions!$B$16+1)*Assumptions!$B$21</f>
        <v>345</v>
      </c>
      <c r="K37" s="35" t="n">
        <f aca="false">(Assumptions!$B$16+1)*Assumptions!$B$21</f>
        <v>345</v>
      </c>
      <c r="L37" s="35" t="n">
        <f aca="false">(Assumptions!$B$16+1)*Assumptions!$B$21</f>
        <v>345</v>
      </c>
      <c r="M37" s="35" t="n">
        <f aca="false">(Assumptions!$B$16+1)*Assumptions!$B$21</f>
        <v>345</v>
      </c>
      <c r="N37" s="35" t="n">
        <f aca="false">(Assumptions!$B$16+1)*Assumptions!$B$21</f>
        <v>345</v>
      </c>
      <c r="O37" s="35" t="n">
        <f aca="false">(Assumptions!$C$16+1)*Assumptions!$B$21</f>
        <v>460</v>
      </c>
      <c r="P37" s="35" t="n">
        <f aca="false">(Assumptions!$C$16+1)*Assumptions!$B$21</f>
        <v>460</v>
      </c>
      <c r="Q37" s="35" t="n">
        <f aca="false">(Assumptions!$C$16+1)*Assumptions!$B$21</f>
        <v>460</v>
      </c>
      <c r="R37" s="35" t="n">
        <f aca="false">(Assumptions!$C$16+1)*Assumptions!$B$21</f>
        <v>460</v>
      </c>
      <c r="S37" s="35" t="n">
        <f aca="false">(Assumptions!$C$16+1)*Assumptions!$B$21</f>
        <v>460</v>
      </c>
      <c r="T37" s="35" t="n">
        <f aca="false">(Assumptions!$C$16+1)*Assumptions!$B$21</f>
        <v>460</v>
      </c>
      <c r="U37" s="35" t="n">
        <f aca="false">(Assumptions!$C$16+1)*Assumptions!$B$21</f>
        <v>460</v>
      </c>
      <c r="V37" s="35" t="n">
        <f aca="false">(Assumptions!$C$16+1)*Assumptions!$B$21</f>
        <v>460</v>
      </c>
      <c r="W37" s="35" t="n">
        <f aca="false">(Assumptions!$C$16+1)*Assumptions!$B$21</f>
        <v>460</v>
      </c>
      <c r="X37" s="35" t="n">
        <f aca="false">(Assumptions!$C$16+1)*Assumptions!$B$21</f>
        <v>460</v>
      </c>
      <c r="Y37" s="35" t="n">
        <f aca="false">(Assumptions!$C$16+1)*Assumptions!$B$21</f>
        <v>460</v>
      </c>
      <c r="Z37" s="35" t="n">
        <f aca="false">(Assumptions!$C$16+1)*Assumptions!$B$21</f>
        <v>460</v>
      </c>
      <c r="AA37" s="35" t="n">
        <f aca="false">(Assumptions!$E$16+1)*Assumptions!$B$21</f>
        <v>690</v>
      </c>
      <c r="AB37" s="35" t="n">
        <f aca="false">(Assumptions!$E$16+1)*Assumptions!$B$21</f>
        <v>690</v>
      </c>
      <c r="AC37" s="35" t="n">
        <f aca="false">(Assumptions!$E$16+1)*Assumptions!$B$21</f>
        <v>690</v>
      </c>
      <c r="AD37" s="35" t="n">
        <f aca="false">(Assumptions!$E$16+1)*Assumptions!$B$21</f>
        <v>690</v>
      </c>
      <c r="AE37" s="35" t="n">
        <f aca="false">(Assumptions!$E$16+1)*Assumptions!$B$21</f>
        <v>690</v>
      </c>
      <c r="AF37" s="35" t="n">
        <f aca="false">(Assumptions!$E$16+1)*Assumptions!$B$21</f>
        <v>690</v>
      </c>
      <c r="AG37" s="35" t="n">
        <f aca="false">(Assumptions!$E$16+1)*Assumptions!$B$21</f>
        <v>690</v>
      </c>
      <c r="AH37" s="35" t="n">
        <f aca="false">(Assumptions!$E$16+1)*Assumptions!$B$21</f>
        <v>690</v>
      </c>
      <c r="AI37" s="35" t="n">
        <f aca="false">(Assumptions!$E$16+1)*Assumptions!$B$21</f>
        <v>690</v>
      </c>
      <c r="AJ37" s="35" t="n">
        <f aca="false">(Assumptions!$E$16+1)*Assumptions!$B$21</f>
        <v>690</v>
      </c>
      <c r="AK37" s="35" t="n">
        <f aca="false">(Assumptions!$E$16+1)*Assumptions!$B$21</f>
        <v>690</v>
      </c>
      <c r="AL37" s="35" t="n">
        <f aca="false">(Assumptions!$E$16+1)*Assumptions!$B$21</f>
        <v>690</v>
      </c>
    </row>
    <row r="38" customFormat="false" ht="15" hidden="false" customHeight="false" outlineLevel="0" collapsed="false">
      <c r="A38" s="6" t="s">
        <v>565</v>
      </c>
      <c r="C38" s="30" t="str">
        <f aca="false">IF(C36&gt;C37,"OVER","ok")</f>
        <v>ok</v>
      </c>
      <c r="D38" s="30" t="str">
        <f aca="false">IF(D36&gt;D37,"OVER","ok")</f>
        <v>ok</v>
      </c>
      <c r="E38" s="30" t="str">
        <f aca="false">IF(E36&gt;E37,"OVER","ok")</f>
        <v>ok</v>
      </c>
      <c r="F38" s="30" t="str">
        <f aca="false">IF(F36&gt;F37,"OVER","ok")</f>
        <v>ok</v>
      </c>
      <c r="G38" s="30" t="str">
        <f aca="false">IF(G36&gt;G37,"OVER","ok")</f>
        <v>ok</v>
      </c>
      <c r="H38" s="30" t="str">
        <f aca="false">IF(H36&gt;H37,"OVER","ok")</f>
        <v>ok</v>
      </c>
      <c r="I38" s="30" t="str">
        <f aca="false">IF(I36&gt;I37,"OVER","ok")</f>
        <v>ok</v>
      </c>
      <c r="J38" s="30" t="str">
        <f aca="false">IF(J36&gt;J37,"OVER","ok")</f>
        <v>ok</v>
      </c>
      <c r="K38" s="30" t="str">
        <f aca="false">IF(K36&gt;K37,"OVER","ok")</f>
        <v>ok</v>
      </c>
      <c r="L38" s="30" t="str">
        <f aca="false">IF(L36&gt;L37,"OVER","ok")</f>
        <v>ok</v>
      </c>
      <c r="M38" s="30" t="str">
        <f aca="false">IF(M36&gt;M37,"OVER","ok")</f>
        <v>ok</v>
      </c>
      <c r="N38" s="30" t="str">
        <f aca="false">IF(N36&gt;N37,"OVER","ok")</f>
        <v>ok</v>
      </c>
      <c r="O38" s="30" t="str">
        <f aca="false">IF(O36&gt;O37,"OVER","ok")</f>
        <v>ok</v>
      </c>
      <c r="P38" s="30" t="str">
        <f aca="false">IF(P36&gt;P37,"OVER","ok")</f>
        <v>ok</v>
      </c>
      <c r="Q38" s="30" t="str">
        <f aca="false">IF(Q36&gt;Q37,"OVER","ok")</f>
        <v>ok</v>
      </c>
      <c r="R38" s="30" t="str">
        <f aca="false">IF(R36&gt;R37,"OVER","ok")</f>
        <v>ok</v>
      </c>
      <c r="S38" s="30" t="str">
        <f aca="false">IF(S36&gt;S37,"OVER","ok")</f>
        <v>ok</v>
      </c>
      <c r="T38" s="30" t="str">
        <f aca="false">IF(T36&gt;T37,"OVER","ok")</f>
        <v>ok</v>
      </c>
      <c r="U38" s="30" t="str">
        <f aca="false">IF(U36&gt;U37,"OVER","ok")</f>
        <v>ok</v>
      </c>
      <c r="V38" s="30" t="str">
        <f aca="false">IF(V36&gt;V37,"OVER","ok")</f>
        <v>ok</v>
      </c>
      <c r="W38" s="30" t="str">
        <f aca="false">IF(W36&gt;W37,"OVER","ok")</f>
        <v>ok</v>
      </c>
      <c r="X38" s="30" t="str">
        <f aca="false">IF(X36&gt;X37,"OVER","ok")</f>
        <v>ok</v>
      </c>
      <c r="Y38" s="30" t="str">
        <f aca="false">IF(Y36&gt;Y37,"OVER","ok")</f>
        <v>ok</v>
      </c>
      <c r="Z38" s="30" t="str">
        <f aca="false">IF(Z36&gt;Z37,"OVER","ok")</f>
        <v>ok</v>
      </c>
      <c r="AA38" s="30" t="str">
        <f aca="false">IF(AA36&gt;AA37,"OVER","ok")</f>
        <v>ok</v>
      </c>
      <c r="AB38" s="30" t="str">
        <f aca="false">IF(AB36&gt;AB37,"OVER","ok")</f>
        <v>ok</v>
      </c>
      <c r="AC38" s="30" t="str">
        <f aca="false">IF(AC36&gt;AC37,"OVER","ok")</f>
        <v>ok</v>
      </c>
      <c r="AD38" s="30" t="str">
        <f aca="false">IF(AD36&gt;AD37,"OVER","ok")</f>
        <v>ok</v>
      </c>
      <c r="AE38" s="30" t="str">
        <f aca="false">IF(AE36&gt;AE37,"OVER","ok")</f>
        <v>ok</v>
      </c>
      <c r="AF38" s="30" t="str">
        <f aca="false">IF(AF36&gt;AF37,"OVER","ok")</f>
        <v>ok</v>
      </c>
      <c r="AG38" s="30" t="str">
        <f aca="false">IF(AG36&gt;AG37,"OVER","ok")</f>
        <v>ok</v>
      </c>
      <c r="AH38" s="30" t="str">
        <f aca="false">IF(AH36&gt;AH37,"OVER","ok")</f>
        <v>ok</v>
      </c>
      <c r="AI38" s="30" t="str">
        <f aca="false">IF(AI36&gt;AI37,"OVER","ok")</f>
        <v>ok</v>
      </c>
      <c r="AJ38" s="30" t="str">
        <f aca="false">IF(AJ36&gt;AJ37,"OVER","ok")</f>
        <v>ok</v>
      </c>
      <c r="AK38" s="30" t="str">
        <f aca="false">IF(AK36&gt;AK37,"OVER","ok")</f>
        <v>ok</v>
      </c>
      <c r="AL38" s="30" t="str">
        <f aca="false">IF(AL36&gt;AL37,"OVER","ok")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40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566</v>
      </c>
    </row>
    <row r="2" customFormat="false" ht="15" hidden="false" customHeight="false" outlineLevel="0" collapsed="false">
      <c r="A2" s="2" t="s">
        <v>567</v>
      </c>
    </row>
    <row r="4" customFormat="false" ht="15" hidden="false" customHeight="false" outlineLevel="0" collapsed="false">
      <c r="A4" s="38" t="s">
        <v>568</v>
      </c>
      <c r="B4" s="38" t="s">
        <v>249</v>
      </c>
      <c r="C4" s="38" t="s">
        <v>251</v>
      </c>
      <c r="D4" s="38" t="s">
        <v>569</v>
      </c>
      <c r="E4" s="38" t="s">
        <v>570</v>
      </c>
      <c r="F4" s="38" t="s">
        <v>250</v>
      </c>
      <c r="G4" s="38" t="s">
        <v>571</v>
      </c>
      <c r="H4" s="38" t="s">
        <v>572</v>
      </c>
      <c r="I4" s="38" t="s">
        <v>573</v>
      </c>
      <c r="J4" s="38" t="s">
        <v>574</v>
      </c>
      <c r="K4" s="38" t="s">
        <v>575</v>
      </c>
      <c r="L4" s="38" t="s">
        <v>576</v>
      </c>
    </row>
    <row r="5" customFormat="false" ht="15" hidden="false" customHeight="false" outlineLevel="0" collapsed="false">
      <c r="A5" s="2" t="s">
        <v>577</v>
      </c>
      <c r="B5" s="2" t="s">
        <v>278</v>
      </c>
      <c r="C5" s="2" t="s">
        <v>280</v>
      </c>
      <c r="D5" s="2" t="s">
        <v>578</v>
      </c>
      <c r="E5" s="2" t="s">
        <v>281</v>
      </c>
      <c r="F5" s="2" t="s">
        <v>279</v>
      </c>
      <c r="G5" s="2" t="n">
        <v>20</v>
      </c>
      <c r="H5" s="2" t="n">
        <v>15</v>
      </c>
      <c r="I5" s="2" t="n">
        <v>3500</v>
      </c>
      <c r="J5" s="2"/>
      <c r="K5" s="2" t="s">
        <v>579</v>
      </c>
      <c r="L5" s="2"/>
    </row>
    <row r="6" customFormat="false" ht="15" hidden="false" customHeight="false" outlineLevel="0" collapsed="false">
      <c r="A6" s="2" t="s">
        <v>577</v>
      </c>
      <c r="B6" s="2" t="s">
        <v>278</v>
      </c>
      <c r="C6" s="2" t="s">
        <v>280</v>
      </c>
      <c r="D6" s="2" t="s">
        <v>578</v>
      </c>
      <c r="E6" s="2" t="s">
        <v>281</v>
      </c>
      <c r="F6" s="2" t="s">
        <v>282</v>
      </c>
      <c r="G6" s="2" t="n">
        <v>20</v>
      </c>
      <c r="H6" s="2" t="n">
        <v>15</v>
      </c>
      <c r="I6" s="2" t="n">
        <v>4300</v>
      </c>
      <c r="J6" s="2"/>
      <c r="K6" s="2" t="s">
        <v>580</v>
      </c>
      <c r="L6" s="2"/>
    </row>
    <row r="7" customFormat="false" ht="15" hidden="false" customHeight="false" outlineLevel="0" collapsed="false">
      <c r="A7" s="2" t="s">
        <v>577</v>
      </c>
      <c r="B7" s="2" t="s">
        <v>278</v>
      </c>
      <c r="C7" s="2" t="s">
        <v>280</v>
      </c>
      <c r="D7" s="2" t="s">
        <v>578</v>
      </c>
      <c r="E7" s="2" t="s">
        <v>281</v>
      </c>
      <c r="F7" s="2" t="s">
        <v>283</v>
      </c>
      <c r="G7" s="2" t="n">
        <v>30</v>
      </c>
      <c r="H7" s="2" t="n">
        <v>20</v>
      </c>
      <c r="I7" s="2" t="n">
        <v>5400</v>
      </c>
      <c r="J7" s="2"/>
      <c r="K7" s="2" t="s">
        <v>581</v>
      </c>
      <c r="L7" s="2"/>
    </row>
    <row r="8" customFormat="false" ht="15" hidden="false" customHeight="false" outlineLevel="0" collapsed="false">
      <c r="A8" s="2" t="s">
        <v>577</v>
      </c>
      <c r="B8" s="2" t="s">
        <v>278</v>
      </c>
      <c r="C8" s="2" t="s">
        <v>280</v>
      </c>
      <c r="D8" s="2" t="s">
        <v>578</v>
      </c>
      <c r="E8" s="2" t="s">
        <v>281</v>
      </c>
      <c r="F8" s="2" t="s">
        <v>284</v>
      </c>
      <c r="G8" s="2" t="n">
        <v>20</v>
      </c>
      <c r="H8" s="2" t="n">
        <v>10</v>
      </c>
      <c r="I8" s="2" t="n">
        <v>2600</v>
      </c>
      <c r="J8" s="2"/>
      <c r="K8" s="2" t="s">
        <v>582</v>
      </c>
      <c r="L8" s="2"/>
    </row>
    <row r="9" customFormat="false" ht="15" hidden="false" customHeight="false" outlineLevel="0" collapsed="false">
      <c r="A9" s="2" t="s">
        <v>577</v>
      </c>
      <c r="B9" s="2" t="s">
        <v>278</v>
      </c>
      <c r="C9" s="2" t="s">
        <v>280</v>
      </c>
      <c r="D9" s="2" t="s">
        <v>578</v>
      </c>
      <c r="E9" s="2" t="s">
        <v>281</v>
      </c>
      <c r="F9" s="2" t="s">
        <v>285</v>
      </c>
      <c r="G9" s="2" t="n">
        <v>30</v>
      </c>
      <c r="H9" s="2" t="n">
        <v>20</v>
      </c>
      <c r="I9" s="2" t="n">
        <v>6000</v>
      </c>
      <c r="J9" s="2"/>
      <c r="K9" s="2" t="s">
        <v>583</v>
      </c>
      <c r="L9" s="2"/>
    </row>
    <row r="10" customFormat="false" ht="15" hidden="false" customHeight="false" outlineLevel="0" collapsed="false">
      <c r="A10" s="2" t="s">
        <v>577</v>
      </c>
      <c r="B10" s="2" t="s">
        <v>278</v>
      </c>
      <c r="C10" s="2" t="s">
        <v>280</v>
      </c>
      <c r="D10" s="2" t="s">
        <v>578</v>
      </c>
      <c r="E10" s="2" t="s">
        <v>281</v>
      </c>
      <c r="F10" s="2" t="s">
        <v>286</v>
      </c>
      <c r="G10" s="2" t="n">
        <v>30</v>
      </c>
      <c r="H10" s="2" t="n">
        <v>30</v>
      </c>
      <c r="I10" s="2" t="n">
        <v>6400</v>
      </c>
      <c r="J10" s="2"/>
      <c r="K10" s="2" t="s">
        <v>584</v>
      </c>
      <c r="L10" s="2"/>
    </row>
    <row r="11" customFormat="false" ht="15" hidden="false" customHeight="false" outlineLevel="0" collapsed="false">
      <c r="A11" s="2" t="s">
        <v>577</v>
      </c>
      <c r="B11" s="2" t="s">
        <v>278</v>
      </c>
      <c r="C11" s="2" t="s">
        <v>280</v>
      </c>
      <c r="D11" s="2" t="s">
        <v>578</v>
      </c>
      <c r="E11" s="2" t="s">
        <v>281</v>
      </c>
      <c r="F11" s="2" t="s">
        <v>287</v>
      </c>
      <c r="G11" s="2" t="n">
        <v>40</v>
      </c>
      <c r="H11" s="2" t="n">
        <v>30</v>
      </c>
      <c r="I11" s="2" t="n">
        <v>11900</v>
      </c>
      <c r="J11" s="2"/>
      <c r="K11" s="2" t="s">
        <v>585</v>
      </c>
      <c r="L11" s="2"/>
    </row>
    <row r="12" customFormat="false" ht="15" hidden="false" customHeight="false" outlineLevel="0" collapsed="false">
      <c r="A12" s="2" t="s">
        <v>577</v>
      </c>
      <c r="B12" s="2" t="s">
        <v>278</v>
      </c>
      <c r="C12" s="2" t="s">
        <v>280</v>
      </c>
      <c r="D12" s="2" t="s">
        <v>578</v>
      </c>
      <c r="E12" s="2" t="s">
        <v>281</v>
      </c>
      <c r="F12" s="2" t="s">
        <v>288</v>
      </c>
      <c r="G12" s="2" t="n">
        <v>30</v>
      </c>
      <c r="H12" s="2" t="n">
        <v>30</v>
      </c>
      <c r="I12" s="2" t="n">
        <v>11500</v>
      </c>
      <c r="J12" s="2"/>
      <c r="K12" s="2" t="s">
        <v>586</v>
      </c>
      <c r="L12" s="2"/>
    </row>
    <row r="13" customFormat="false" ht="15" hidden="false" customHeight="false" outlineLevel="0" collapsed="false">
      <c r="A13" s="2" t="s">
        <v>577</v>
      </c>
      <c r="B13" s="2" t="s">
        <v>278</v>
      </c>
      <c r="C13" s="2" t="s">
        <v>280</v>
      </c>
      <c r="D13" s="2" t="s">
        <v>578</v>
      </c>
      <c r="E13" s="2" t="s">
        <v>281</v>
      </c>
      <c r="F13" s="2" t="s">
        <v>289</v>
      </c>
      <c r="G13" s="2" t="n">
        <v>40</v>
      </c>
      <c r="H13" s="2" t="n">
        <v>40</v>
      </c>
      <c r="I13" s="2" t="n">
        <v>9500</v>
      </c>
      <c r="J13" s="2"/>
      <c r="K13" s="2" t="s">
        <v>587</v>
      </c>
      <c r="L13" s="2"/>
    </row>
    <row r="14" customFormat="false" ht="15" hidden="false" customHeight="false" outlineLevel="0" collapsed="false">
      <c r="A14" s="2" t="s">
        <v>577</v>
      </c>
      <c r="B14" s="2" t="s">
        <v>278</v>
      </c>
      <c r="C14" s="2" t="s">
        <v>280</v>
      </c>
      <c r="D14" s="2" t="s">
        <v>578</v>
      </c>
      <c r="E14" s="2" t="s">
        <v>281</v>
      </c>
      <c r="F14" s="2" t="s">
        <v>290</v>
      </c>
      <c r="G14" s="2" t="n">
        <v>50</v>
      </c>
      <c r="H14" s="2" t="n">
        <v>40</v>
      </c>
      <c r="I14" s="2" t="n">
        <v>12100</v>
      </c>
      <c r="J14" s="2"/>
      <c r="K14" s="2" t="s">
        <v>588</v>
      </c>
      <c r="L14" s="2"/>
    </row>
    <row r="15" customFormat="false" ht="15" hidden="false" customHeight="false" outlineLevel="0" collapsed="false">
      <c r="A15" s="2" t="s">
        <v>577</v>
      </c>
      <c r="B15" s="2" t="s">
        <v>278</v>
      </c>
      <c r="C15" s="2" t="s">
        <v>280</v>
      </c>
      <c r="D15" s="2" t="s">
        <v>578</v>
      </c>
      <c r="E15" s="2" t="s">
        <v>281</v>
      </c>
      <c r="F15" s="2" t="s">
        <v>291</v>
      </c>
      <c r="G15" s="2" t="n">
        <v>50</v>
      </c>
      <c r="H15" s="2" t="n">
        <v>50</v>
      </c>
      <c r="I15" s="2" t="n">
        <v>14900</v>
      </c>
      <c r="J15" s="2"/>
      <c r="K15" s="2" t="s">
        <v>589</v>
      </c>
      <c r="L15" s="2"/>
    </row>
    <row r="16" customFormat="false" ht="15" hidden="false" customHeight="false" outlineLevel="0" collapsed="false">
      <c r="A16" s="2" t="s">
        <v>577</v>
      </c>
      <c r="B16" s="2" t="s">
        <v>278</v>
      </c>
      <c r="C16" s="2" t="s">
        <v>280</v>
      </c>
      <c r="D16" s="2" t="s">
        <v>578</v>
      </c>
      <c r="E16" s="2" t="s">
        <v>281</v>
      </c>
      <c r="F16" s="2" t="s">
        <v>292</v>
      </c>
      <c r="G16" s="2" t="n">
        <v>15</v>
      </c>
      <c r="H16" s="2" t="n">
        <v>15</v>
      </c>
      <c r="I16" s="2" t="n">
        <v>1100</v>
      </c>
      <c r="J16" s="2"/>
      <c r="K16" s="2" t="s">
        <v>590</v>
      </c>
      <c r="L16" s="2"/>
    </row>
    <row r="17" customFormat="false" ht="15" hidden="false" customHeight="false" outlineLevel="0" collapsed="false">
      <c r="A17" s="2" t="s">
        <v>577</v>
      </c>
      <c r="B17" s="2" t="s">
        <v>278</v>
      </c>
      <c r="C17" s="2" t="s">
        <v>280</v>
      </c>
      <c r="D17" s="2" t="s">
        <v>578</v>
      </c>
      <c r="E17" s="2" t="s">
        <v>281</v>
      </c>
      <c r="F17" s="2" t="s">
        <v>293</v>
      </c>
      <c r="G17" s="2" t="n">
        <v>15</v>
      </c>
      <c r="H17" s="2" t="n">
        <v>15</v>
      </c>
      <c r="I17" s="2" t="n">
        <v>1500</v>
      </c>
      <c r="J17" s="2"/>
      <c r="K17" s="2" t="s">
        <v>591</v>
      </c>
      <c r="L17" s="2"/>
    </row>
    <row r="18" customFormat="false" ht="15" hidden="false" customHeight="false" outlineLevel="0" collapsed="false">
      <c r="A18" s="2" t="s">
        <v>577</v>
      </c>
      <c r="B18" s="2" t="s">
        <v>278</v>
      </c>
      <c r="C18" s="2" t="s">
        <v>280</v>
      </c>
      <c r="D18" s="2" t="s">
        <v>578</v>
      </c>
      <c r="E18" s="2" t="s">
        <v>281</v>
      </c>
      <c r="F18" s="2" t="s">
        <v>294</v>
      </c>
      <c r="G18" s="2" t="n">
        <v>15</v>
      </c>
      <c r="H18" s="2" t="n">
        <v>15</v>
      </c>
      <c r="I18" s="2" t="n">
        <v>2300</v>
      </c>
      <c r="J18" s="2"/>
      <c r="K18" s="2" t="s">
        <v>592</v>
      </c>
      <c r="L18" s="2"/>
    </row>
    <row r="19" customFormat="false" ht="15" hidden="false" customHeight="false" outlineLevel="0" collapsed="false">
      <c r="A19" s="2" t="s">
        <v>577</v>
      </c>
      <c r="B19" s="2" t="s">
        <v>278</v>
      </c>
      <c r="C19" s="2" t="s">
        <v>280</v>
      </c>
      <c r="D19" s="2" t="s">
        <v>578</v>
      </c>
      <c r="E19" s="2" t="s">
        <v>281</v>
      </c>
      <c r="F19" s="2" t="s">
        <v>295</v>
      </c>
      <c r="G19" s="2" t="n">
        <v>20</v>
      </c>
      <c r="H19" s="2" t="n">
        <v>20</v>
      </c>
      <c r="I19" s="2" t="n">
        <v>2900</v>
      </c>
      <c r="J19" s="2"/>
      <c r="K19" s="2" t="s">
        <v>593</v>
      </c>
      <c r="L19" s="2"/>
    </row>
    <row r="20" customFormat="false" ht="15" hidden="false" customHeight="false" outlineLevel="0" collapsed="false">
      <c r="A20" s="2" t="s">
        <v>577</v>
      </c>
      <c r="B20" s="2" t="s">
        <v>278</v>
      </c>
      <c r="C20" s="2" t="s">
        <v>280</v>
      </c>
      <c r="D20" s="2" t="s">
        <v>578</v>
      </c>
      <c r="E20" s="2" t="s">
        <v>281</v>
      </c>
      <c r="F20" s="2" t="s">
        <v>296</v>
      </c>
      <c r="G20" s="2" t="n">
        <v>20</v>
      </c>
      <c r="H20" s="2" t="n">
        <v>20</v>
      </c>
      <c r="I20" s="2" t="n">
        <v>3200</v>
      </c>
      <c r="J20" s="2"/>
      <c r="K20" s="2" t="s">
        <v>594</v>
      </c>
      <c r="L20" s="2"/>
    </row>
    <row r="21" customFormat="false" ht="15" hidden="false" customHeight="false" outlineLevel="0" collapsed="false">
      <c r="A21" s="2" t="s">
        <v>577</v>
      </c>
      <c r="B21" s="2" t="s">
        <v>278</v>
      </c>
      <c r="C21" s="2" t="s">
        <v>280</v>
      </c>
      <c r="D21" s="2" t="s">
        <v>578</v>
      </c>
      <c r="E21" s="2" t="s">
        <v>281</v>
      </c>
      <c r="F21" s="2" t="s">
        <v>297</v>
      </c>
      <c r="G21" s="2" t="n">
        <v>20</v>
      </c>
      <c r="H21" s="2" t="n">
        <v>20</v>
      </c>
      <c r="I21" s="2" t="n">
        <v>4000</v>
      </c>
      <c r="J21" s="2"/>
      <c r="K21" s="2" t="s">
        <v>595</v>
      </c>
      <c r="L21" s="2"/>
    </row>
    <row r="22" customFormat="false" ht="15" hidden="false" customHeight="false" outlineLevel="0" collapsed="false">
      <c r="A22" s="2" t="s">
        <v>577</v>
      </c>
      <c r="B22" s="2" t="s">
        <v>278</v>
      </c>
      <c r="C22" s="2" t="s">
        <v>280</v>
      </c>
      <c r="D22" s="2" t="s">
        <v>578</v>
      </c>
      <c r="E22" s="2" t="s">
        <v>281</v>
      </c>
      <c r="F22" s="2" t="s">
        <v>298</v>
      </c>
      <c r="G22" s="2" t="n">
        <v>20</v>
      </c>
      <c r="H22" s="2" t="n">
        <v>20</v>
      </c>
      <c r="I22" s="2" t="n">
        <v>4600</v>
      </c>
      <c r="J22" s="2"/>
      <c r="K22" s="2" t="s">
        <v>596</v>
      </c>
      <c r="L22" s="2"/>
    </row>
    <row r="23" customFormat="false" ht="15" hidden="false" customHeight="false" outlineLevel="0" collapsed="false">
      <c r="A23" s="2" t="s">
        <v>577</v>
      </c>
      <c r="B23" s="2" t="s">
        <v>278</v>
      </c>
      <c r="C23" s="2" t="s">
        <v>280</v>
      </c>
      <c r="D23" s="2" t="s">
        <v>578</v>
      </c>
      <c r="E23" s="2" t="s">
        <v>281</v>
      </c>
      <c r="F23" s="2" t="s">
        <v>299</v>
      </c>
      <c r="G23" s="2" t="n">
        <v>20</v>
      </c>
      <c r="H23" s="2" t="n">
        <v>20</v>
      </c>
      <c r="I23" s="2" t="n">
        <v>3400</v>
      </c>
      <c r="J23" s="2"/>
      <c r="K23" s="2" t="s">
        <v>597</v>
      </c>
      <c r="L23" s="2"/>
    </row>
    <row r="24" customFormat="false" ht="15" hidden="false" customHeight="false" outlineLevel="0" collapsed="false">
      <c r="A24" s="2" t="s">
        <v>577</v>
      </c>
      <c r="B24" s="2" t="s">
        <v>278</v>
      </c>
      <c r="C24" s="2" t="s">
        <v>280</v>
      </c>
      <c r="D24" s="2" t="s">
        <v>578</v>
      </c>
      <c r="E24" s="2" t="s">
        <v>281</v>
      </c>
      <c r="F24" s="2" t="s">
        <v>300</v>
      </c>
      <c r="G24" s="2" t="n">
        <v>20</v>
      </c>
      <c r="H24" s="2" t="n">
        <v>20</v>
      </c>
      <c r="I24" s="2" t="n">
        <v>3400</v>
      </c>
      <c r="J24" s="2"/>
      <c r="K24" s="2" t="s">
        <v>597</v>
      </c>
      <c r="L24" s="2"/>
    </row>
    <row r="25" customFormat="false" ht="15" hidden="false" customHeight="false" outlineLevel="0" collapsed="false">
      <c r="A25" s="2" t="s">
        <v>577</v>
      </c>
      <c r="B25" s="2" t="s">
        <v>278</v>
      </c>
      <c r="C25" s="2" t="s">
        <v>280</v>
      </c>
      <c r="D25" s="2" t="s">
        <v>578</v>
      </c>
      <c r="E25" s="2" t="s">
        <v>281</v>
      </c>
      <c r="F25" s="2" t="s">
        <v>301</v>
      </c>
      <c r="G25" s="2" t="n">
        <v>30</v>
      </c>
      <c r="H25" s="2" t="n">
        <v>30</v>
      </c>
      <c r="I25" s="2" t="n">
        <v>5400</v>
      </c>
      <c r="J25" s="2"/>
      <c r="K25" s="2" t="s">
        <v>598</v>
      </c>
      <c r="L25" s="2"/>
    </row>
    <row r="26" customFormat="false" ht="15" hidden="false" customHeight="false" outlineLevel="0" collapsed="false">
      <c r="A26" s="2" t="s">
        <v>577</v>
      </c>
      <c r="B26" s="2" t="s">
        <v>278</v>
      </c>
      <c r="C26" s="2" t="s">
        <v>280</v>
      </c>
      <c r="D26" s="2" t="s">
        <v>578</v>
      </c>
      <c r="E26" s="2" t="s">
        <v>281</v>
      </c>
      <c r="F26" s="2" t="s">
        <v>302</v>
      </c>
      <c r="G26" s="2" t="n">
        <v>30</v>
      </c>
      <c r="H26" s="2" t="n">
        <v>30</v>
      </c>
      <c r="I26" s="2" t="n">
        <v>6600</v>
      </c>
      <c r="J26" s="2"/>
      <c r="K26" s="2" t="s">
        <v>599</v>
      </c>
      <c r="L26" s="2"/>
    </row>
    <row r="27" customFormat="false" ht="15" hidden="false" customHeight="false" outlineLevel="0" collapsed="false">
      <c r="A27" s="2" t="s">
        <v>577</v>
      </c>
      <c r="B27" s="2" t="s">
        <v>278</v>
      </c>
      <c r="C27" s="2" t="s">
        <v>280</v>
      </c>
      <c r="D27" s="2" t="s">
        <v>578</v>
      </c>
      <c r="E27" s="2" t="s">
        <v>281</v>
      </c>
      <c r="F27" s="2" t="s">
        <v>303</v>
      </c>
      <c r="G27" s="2" t="n">
        <v>20</v>
      </c>
      <c r="H27" s="2" t="n">
        <v>15</v>
      </c>
      <c r="I27" s="2" t="n">
        <v>1700</v>
      </c>
      <c r="J27" s="2"/>
      <c r="K27" s="2" t="s">
        <v>600</v>
      </c>
      <c r="L27" s="2"/>
    </row>
    <row r="28" customFormat="false" ht="15" hidden="false" customHeight="false" outlineLevel="0" collapsed="false">
      <c r="A28" s="2" t="s">
        <v>577</v>
      </c>
      <c r="B28" s="2" t="s">
        <v>278</v>
      </c>
      <c r="C28" s="2" t="s">
        <v>280</v>
      </c>
      <c r="D28" s="2" t="s">
        <v>578</v>
      </c>
      <c r="E28" s="2" t="s">
        <v>281</v>
      </c>
      <c r="F28" s="2" t="s">
        <v>304</v>
      </c>
      <c r="G28" s="2" t="n">
        <v>20</v>
      </c>
      <c r="H28" s="2" t="n">
        <v>20</v>
      </c>
      <c r="I28" s="2" t="n">
        <v>2800</v>
      </c>
      <c r="J28" s="2"/>
      <c r="K28" s="2" t="s">
        <v>601</v>
      </c>
      <c r="L28" s="2"/>
    </row>
    <row r="29" customFormat="false" ht="15" hidden="false" customHeight="false" outlineLevel="0" collapsed="false">
      <c r="A29" s="2" t="s">
        <v>577</v>
      </c>
      <c r="B29" s="2" t="s">
        <v>278</v>
      </c>
      <c r="C29" s="2" t="s">
        <v>280</v>
      </c>
      <c r="D29" s="2" t="s">
        <v>578</v>
      </c>
      <c r="E29" s="2" t="s">
        <v>281</v>
      </c>
      <c r="F29" s="2" t="s">
        <v>305</v>
      </c>
      <c r="G29" s="2" t="n">
        <v>25</v>
      </c>
      <c r="H29" s="2" t="n">
        <v>25</v>
      </c>
      <c r="I29" s="2" t="n">
        <v>4300</v>
      </c>
      <c r="J29" s="2"/>
      <c r="K29" s="2" t="s">
        <v>602</v>
      </c>
      <c r="L29" s="2"/>
    </row>
    <row r="30" customFormat="false" ht="15" hidden="false" customHeight="false" outlineLevel="0" collapsed="false">
      <c r="A30" s="2" t="s">
        <v>577</v>
      </c>
      <c r="B30" s="2" t="s">
        <v>278</v>
      </c>
      <c r="C30" s="2" t="s">
        <v>280</v>
      </c>
      <c r="D30" s="2" t="s">
        <v>578</v>
      </c>
      <c r="E30" s="2" t="s">
        <v>281</v>
      </c>
      <c r="F30" s="2" t="s">
        <v>306</v>
      </c>
      <c r="G30" s="2" t="n">
        <v>25</v>
      </c>
      <c r="H30" s="2" t="n">
        <v>25</v>
      </c>
      <c r="I30" s="2" t="n">
        <v>4300</v>
      </c>
      <c r="J30" s="2"/>
      <c r="K30" s="2" t="s">
        <v>602</v>
      </c>
      <c r="L30" s="2"/>
    </row>
    <row r="31" customFormat="false" ht="15" hidden="false" customHeight="false" outlineLevel="0" collapsed="false">
      <c r="A31" s="2" t="s">
        <v>577</v>
      </c>
      <c r="B31" s="2" t="s">
        <v>278</v>
      </c>
      <c r="C31" s="2" t="s">
        <v>280</v>
      </c>
      <c r="D31" s="2" t="s">
        <v>578</v>
      </c>
      <c r="E31" s="2" t="s">
        <v>281</v>
      </c>
      <c r="F31" s="2" t="s">
        <v>307</v>
      </c>
      <c r="G31" s="2" t="n">
        <v>30</v>
      </c>
      <c r="H31" s="2" t="n">
        <v>30</v>
      </c>
      <c r="I31" s="2" t="n">
        <v>5800</v>
      </c>
      <c r="J31" s="2"/>
      <c r="K31" s="2" t="s">
        <v>603</v>
      </c>
      <c r="L31" s="2"/>
    </row>
    <row r="32" customFormat="false" ht="15" hidden="false" customHeight="false" outlineLevel="0" collapsed="false">
      <c r="A32" s="2" t="s">
        <v>577</v>
      </c>
      <c r="B32" s="2" t="s">
        <v>278</v>
      </c>
      <c r="C32" s="2" t="s">
        <v>280</v>
      </c>
      <c r="D32" s="2" t="s">
        <v>578</v>
      </c>
      <c r="E32" s="2" t="s">
        <v>281</v>
      </c>
      <c r="F32" s="2" t="s">
        <v>308</v>
      </c>
      <c r="G32" s="2" t="n">
        <v>30</v>
      </c>
      <c r="H32" s="2" t="n">
        <v>30</v>
      </c>
      <c r="I32" s="2" t="n">
        <v>6900</v>
      </c>
      <c r="J32" s="2"/>
      <c r="K32" s="2" t="s">
        <v>604</v>
      </c>
      <c r="L32" s="2"/>
    </row>
    <row r="33" customFormat="false" ht="15" hidden="false" customHeight="false" outlineLevel="0" collapsed="false">
      <c r="A33" s="2" t="s">
        <v>577</v>
      </c>
      <c r="B33" s="2" t="s">
        <v>278</v>
      </c>
      <c r="C33" s="2" t="s">
        <v>280</v>
      </c>
      <c r="D33" s="2" t="s">
        <v>578</v>
      </c>
      <c r="E33" s="2" t="s">
        <v>281</v>
      </c>
      <c r="F33" s="2" t="s">
        <v>309</v>
      </c>
      <c r="G33" s="2" t="n">
        <v>35</v>
      </c>
      <c r="H33" s="2" t="n">
        <v>30</v>
      </c>
      <c r="I33" s="2" t="n">
        <v>8700</v>
      </c>
      <c r="J33" s="2"/>
      <c r="K33" s="2" t="s">
        <v>605</v>
      </c>
      <c r="L33" s="2"/>
    </row>
    <row r="34" customFormat="false" ht="15" hidden="false" customHeight="false" outlineLevel="0" collapsed="false">
      <c r="A34" s="2" t="s">
        <v>577</v>
      </c>
      <c r="B34" s="2" t="s">
        <v>278</v>
      </c>
      <c r="C34" s="2" t="s">
        <v>280</v>
      </c>
      <c r="D34" s="2" t="s">
        <v>578</v>
      </c>
      <c r="E34" s="2" t="s">
        <v>281</v>
      </c>
      <c r="F34" s="2" t="s">
        <v>310</v>
      </c>
      <c r="G34" s="2" t="n">
        <v>35</v>
      </c>
      <c r="H34" s="2" t="n">
        <v>30</v>
      </c>
      <c r="I34" s="2" t="n">
        <v>10400</v>
      </c>
      <c r="J34" s="2"/>
      <c r="K34" s="2" t="s">
        <v>606</v>
      </c>
      <c r="L34" s="2"/>
    </row>
    <row r="35" customFormat="false" ht="15" hidden="false" customHeight="false" outlineLevel="0" collapsed="false">
      <c r="A35" s="2" t="s">
        <v>577</v>
      </c>
      <c r="B35" s="2" t="s">
        <v>278</v>
      </c>
      <c r="C35" s="2" t="s">
        <v>280</v>
      </c>
      <c r="D35" s="2" t="s">
        <v>578</v>
      </c>
      <c r="E35" s="2" t="s">
        <v>281</v>
      </c>
      <c r="F35" s="2" t="s">
        <v>311</v>
      </c>
      <c r="G35" s="2" t="n">
        <v>20</v>
      </c>
      <c r="H35" s="2" t="n">
        <v>15</v>
      </c>
      <c r="I35" s="2" t="n">
        <v>2300</v>
      </c>
      <c r="J35" s="2"/>
      <c r="K35" s="2" t="s">
        <v>607</v>
      </c>
      <c r="L35" s="2"/>
    </row>
    <row r="36" customFormat="false" ht="15" hidden="false" customHeight="false" outlineLevel="0" collapsed="false">
      <c r="A36" s="2" t="s">
        <v>577</v>
      </c>
      <c r="B36" s="2" t="s">
        <v>278</v>
      </c>
      <c r="C36" s="2" t="s">
        <v>280</v>
      </c>
      <c r="D36" s="2" t="s">
        <v>578</v>
      </c>
      <c r="E36" s="2" t="s">
        <v>281</v>
      </c>
      <c r="F36" s="2" t="s">
        <v>312</v>
      </c>
      <c r="G36" s="2" t="n">
        <v>20</v>
      </c>
      <c r="H36" s="2" t="n">
        <v>15</v>
      </c>
      <c r="I36" s="2" t="n">
        <v>1500</v>
      </c>
      <c r="J36" s="2"/>
      <c r="K36" s="2" t="s">
        <v>591</v>
      </c>
      <c r="L36" s="2"/>
    </row>
    <row r="37" customFormat="false" ht="15" hidden="false" customHeight="false" outlineLevel="0" collapsed="false">
      <c r="A37" s="2" t="s">
        <v>577</v>
      </c>
      <c r="B37" s="2" t="s">
        <v>278</v>
      </c>
      <c r="C37" s="2" t="s">
        <v>280</v>
      </c>
      <c r="D37" s="2" t="s">
        <v>578</v>
      </c>
      <c r="E37" s="2" t="s">
        <v>281</v>
      </c>
      <c r="F37" s="2" t="s">
        <v>313</v>
      </c>
      <c r="G37" s="2" t="n">
        <v>20</v>
      </c>
      <c r="H37" s="2" t="n">
        <v>20</v>
      </c>
      <c r="I37" s="2" t="n">
        <v>4500</v>
      </c>
      <c r="J37" s="2"/>
      <c r="K37" s="2" t="s">
        <v>608</v>
      </c>
      <c r="L37" s="2"/>
    </row>
    <row r="38" customFormat="false" ht="15" hidden="false" customHeight="false" outlineLevel="0" collapsed="false">
      <c r="A38" s="2" t="s">
        <v>577</v>
      </c>
      <c r="B38" s="2" t="s">
        <v>278</v>
      </c>
      <c r="C38" s="2" t="s">
        <v>280</v>
      </c>
      <c r="D38" s="2" t="s">
        <v>578</v>
      </c>
      <c r="E38" s="2" t="s">
        <v>281</v>
      </c>
      <c r="F38" s="2" t="s">
        <v>314</v>
      </c>
      <c r="G38" s="2" t="n">
        <v>50</v>
      </c>
      <c r="H38" s="2" t="n">
        <v>50</v>
      </c>
      <c r="I38" s="2" t="n">
        <v>14000</v>
      </c>
      <c r="J38" s="2"/>
      <c r="K38" s="2" t="s">
        <v>609</v>
      </c>
      <c r="L38" s="2"/>
    </row>
    <row r="39" customFormat="false" ht="15" hidden="false" customHeight="false" outlineLevel="0" collapsed="false">
      <c r="A39" s="2" t="s">
        <v>577</v>
      </c>
      <c r="B39" s="2" t="s">
        <v>278</v>
      </c>
      <c r="C39" s="2" t="s">
        <v>280</v>
      </c>
      <c r="D39" s="2" t="s">
        <v>578</v>
      </c>
      <c r="E39" s="2" t="s">
        <v>281</v>
      </c>
      <c r="F39" s="2" t="s">
        <v>315</v>
      </c>
      <c r="G39" s="2" t="n">
        <v>30</v>
      </c>
      <c r="H39" s="2" t="n">
        <v>30</v>
      </c>
      <c r="I39" s="2" t="n">
        <v>8400</v>
      </c>
      <c r="J39" s="2"/>
      <c r="K39" s="2" t="s">
        <v>610</v>
      </c>
      <c r="L39" s="2"/>
    </row>
    <row r="40" customFormat="false" ht="15" hidden="false" customHeight="false" outlineLevel="0" collapsed="false">
      <c r="A40" s="2" t="s">
        <v>577</v>
      </c>
      <c r="B40" s="2" t="s">
        <v>278</v>
      </c>
      <c r="C40" s="2" t="s">
        <v>280</v>
      </c>
      <c r="D40" s="2" t="s">
        <v>578</v>
      </c>
      <c r="E40" s="2" t="s">
        <v>281</v>
      </c>
      <c r="F40" s="2" t="s">
        <v>316</v>
      </c>
      <c r="G40" s="2" t="n">
        <v>40</v>
      </c>
      <c r="H40" s="2" t="n">
        <v>40</v>
      </c>
      <c r="I40" s="2" t="n">
        <v>10100</v>
      </c>
      <c r="J40" s="2"/>
      <c r="K40" s="2" t="s">
        <v>611</v>
      </c>
      <c r="L40" s="2"/>
    </row>
    <row r="41" customFormat="false" ht="15" hidden="false" customHeight="false" outlineLevel="0" collapsed="false">
      <c r="A41" s="2" t="s">
        <v>577</v>
      </c>
      <c r="B41" s="2" t="s">
        <v>278</v>
      </c>
      <c r="C41" s="2" t="s">
        <v>280</v>
      </c>
      <c r="D41" s="2" t="s">
        <v>578</v>
      </c>
      <c r="E41" s="2" t="s">
        <v>281</v>
      </c>
      <c r="F41" s="2" t="s">
        <v>317</v>
      </c>
      <c r="G41" s="2" t="n">
        <v>60</v>
      </c>
      <c r="H41" s="2" t="n">
        <v>60</v>
      </c>
      <c r="I41" s="2" t="n">
        <v>21800</v>
      </c>
      <c r="J41" s="2"/>
      <c r="K41" s="2" t="s">
        <v>612</v>
      </c>
      <c r="L41" s="2"/>
    </row>
    <row r="42" customFormat="false" ht="15" hidden="false" customHeight="false" outlineLevel="0" collapsed="false">
      <c r="A42" s="2" t="s">
        <v>613</v>
      </c>
      <c r="B42" s="2" t="s">
        <v>318</v>
      </c>
      <c r="C42" s="2" t="s">
        <v>280</v>
      </c>
      <c r="D42" s="2"/>
      <c r="E42" s="2" t="s">
        <v>614</v>
      </c>
      <c r="F42" s="2" t="s">
        <v>319</v>
      </c>
      <c r="G42" s="2" t="n">
        <v>20</v>
      </c>
      <c r="H42" s="2" t="n">
        <v>20</v>
      </c>
      <c r="I42" s="2" t="n">
        <v>1700</v>
      </c>
      <c r="J42" s="2"/>
      <c r="K42" s="2" t="s">
        <v>615</v>
      </c>
      <c r="L42" s="2"/>
    </row>
    <row r="43" customFormat="false" ht="15" hidden="false" customHeight="false" outlineLevel="0" collapsed="false">
      <c r="A43" s="2" t="s">
        <v>613</v>
      </c>
      <c r="B43" s="2" t="s">
        <v>318</v>
      </c>
      <c r="C43" s="2" t="s">
        <v>280</v>
      </c>
      <c r="D43" s="2"/>
      <c r="E43" s="2" t="s">
        <v>614</v>
      </c>
      <c r="F43" s="2" t="s">
        <v>299</v>
      </c>
      <c r="G43" s="2" t="n">
        <v>20</v>
      </c>
      <c r="H43" s="2" t="n">
        <v>20</v>
      </c>
      <c r="I43" s="2" t="n">
        <v>5700</v>
      </c>
      <c r="J43" s="2"/>
      <c r="K43" s="2" t="s">
        <v>616</v>
      </c>
      <c r="L43" s="2"/>
    </row>
    <row r="44" customFormat="false" ht="15" hidden="false" customHeight="false" outlineLevel="0" collapsed="false">
      <c r="A44" s="2" t="s">
        <v>613</v>
      </c>
      <c r="B44" s="2" t="s">
        <v>318</v>
      </c>
      <c r="C44" s="2" t="s">
        <v>280</v>
      </c>
      <c r="D44" s="2"/>
      <c r="E44" s="2" t="s">
        <v>614</v>
      </c>
      <c r="F44" s="2" t="s">
        <v>300</v>
      </c>
      <c r="G44" s="2" t="n">
        <v>20</v>
      </c>
      <c r="H44" s="2" t="n">
        <v>20</v>
      </c>
      <c r="I44" s="2" t="n">
        <v>5700</v>
      </c>
      <c r="J44" s="2"/>
      <c r="K44" s="2" t="s">
        <v>616</v>
      </c>
      <c r="L44" s="2"/>
    </row>
    <row r="45" customFormat="false" ht="15" hidden="false" customHeight="false" outlineLevel="0" collapsed="false">
      <c r="A45" s="2" t="s">
        <v>613</v>
      </c>
      <c r="B45" s="2" t="s">
        <v>318</v>
      </c>
      <c r="C45" s="2" t="s">
        <v>280</v>
      </c>
      <c r="D45" s="2"/>
      <c r="E45" s="2" t="s">
        <v>614</v>
      </c>
      <c r="F45" s="2" t="s">
        <v>321</v>
      </c>
      <c r="G45" s="2" t="n">
        <v>30</v>
      </c>
      <c r="H45" s="2" t="n">
        <v>30</v>
      </c>
      <c r="I45" s="2" t="n">
        <v>7500</v>
      </c>
      <c r="J45" s="2"/>
      <c r="K45" s="2" t="s">
        <v>617</v>
      </c>
      <c r="L45" s="2"/>
    </row>
    <row r="46" customFormat="false" ht="15" hidden="false" customHeight="false" outlineLevel="0" collapsed="false">
      <c r="A46" s="2" t="s">
        <v>613</v>
      </c>
      <c r="B46" s="2" t="s">
        <v>318</v>
      </c>
      <c r="C46" s="2" t="s">
        <v>280</v>
      </c>
      <c r="D46" s="2"/>
      <c r="E46" s="2" t="s">
        <v>614</v>
      </c>
      <c r="F46" s="2" t="s">
        <v>322</v>
      </c>
      <c r="G46" s="2" t="n">
        <v>40</v>
      </c>
      <c r="H46" s="2" t="n">
        <v>40</v>
      </c>
      <c r="I46" s="2" t="n">
        <v>9000</v>
      </c>
      <c r="J46" s="2"/>
      <c r="K46" s="2" t="s">
        <v>618</v>
      </c>
      <c r="L46" s="2"/>
    </row>
    <row r="47" customFormat="false" ht="15" hidden="false" customHeight="false" outlineLevel="0" collapsed="false">
      <c r="A47" s="2" t="s">
        <v>613</v>
      </c>
      <c r="B47" s="2" t="s">
        <v>318</v>
      </c>
      <c r="C47" s="2" t="s">
        <v>280</v>
      </c>
      <c r="D47" s="2"/>
      <c r="E47" s="2" t="s">
        <v>614</v>
      </c>
      <c r="F47" s="2" t="s">
        <v>303</v>
      </c>
      <c r="G47" s="2" t="n">
        <v>20</v>
      </c>
      <c r="H47" s="2" t="n">
        <v>20</v>
      </c>
      <c r="I47" s="2" t="n">
        <v>3300</v>
      </c>
      <c r="J47" s="2"/>
      <c r="K47" s="2" t="s">
        <v>619</v>
      </c>
      <c r="L47" s="2"/>
    </row>
    <row r="48" customFormat="false" ht="15" hidden="false" customHeight="false" outlineLevel="0" collapsed="false">
      <c r="A48" s="2" t="s">
        <v>613</v>
      </c>
      <c r="B48" s="2" t="s">
        <v>318</v>
      </c>
      <c r="C48" s="2" t="s">
        <v>280</v>
      </c>
      <c r="D48" s="2"/>
      <c r="E48" s="2" t="s">
        <v>614</v>
      </c>
      <c r="F48" s="2" t="s">
        <v>307</v>
      </c>
      <c r="G48" s="2" t="n">
        <v>30</v>
      </c>
      <c r="H48" s="2" t="n">
        <v>30</v>
      </c>
      <c r="I48" s="2" t="n">
        <v>9000</v>
      </c>
      <c r="J48" s="2"/>
      <c r="K48" s="2" t="s">
        <v>620</v>
      </c>
      <c r="L48" s="2"/>
    </row>
    <row r="49" customFormat="false" ht="15" hidden="false" customHeight="false" outlineLevel="0" collapsed="false">
      <c r="A49" s="2" t="s">
        <v>613</v>
      </c>
      <c r="B49" s="2" t="s">
        <v>318</v>
      </c>
      <c r="C49" s="2" t="s">
        <v>280</v>
      </c>
      <c r="D49" s="2"/>
      <c r="E49" s="2" t="s">
        <v>614</v>
      </c>
      <c r="F49" s="2" t="s">
        <v>306</v>
      </c>
      <c r="G49" s="2" t="n">
        <v>20</v>
      </c>
      <c r="H49" s="2" t="n">
        <v>20</v>
      </c>
      <c r="I49" s="2" t="n">
        <v>9000</v>
      </c>
      <c r="J49" s="2"/>
      <c r="K49" s="2" t="s">
        <v>620</v>
      </c>
      <c r="L49" s="2"/>
    </row>
    <row r="50" customFormat="false" ht="15" hidden="false" customHeight="false" outlineLevel="0" collapsed="false">
      <c r="A50" s="2" t="s">
        <v>613</v>
      </c>
      <c r="B50" s="2" t="s">
        <v>318</v>
      </c>
      <c r="C50" s="2" t="s">
        <v>280</v>
      </c>
      <c r="D50" s="2"/>
      <c r="E50" s="2" t="s">
        <v>614</v>
      </c>
      <c r="F50" s="2" t="s">
        <v>323</v>
      </c>
      <c r="G50" s="2" t="n">
        <v>30</v>
      </c>
      <c r="H50" s="2" t="n">
        <v>30</v>
      </c>
      <c r="I50" s="2" t="n">
        <v>9000</v>
      </c>
      <c r="J50" s="2"/>
      <c r="K50" s="2" t="s">
        <v>620</v>
      </c>
      <c r="L50" s="2"/>
    </row>
    <row r="51" customFormat="false" ht="15" hidden="false" customHeight="false" outlineLevel="0" collapsed="false">
      <c r="A51" s="2" t="s">
        <v>613</v>
      </c>
      <c r="B51" s="2" t="s">
        <v>318</v>
      </c>
      <c r="C51" s="2" t="s">
        <v>280</v>
      </c>
      <c r="D51" s="2"/>
      <c r="E51" s="2" t="s">
        <v>614</v>
      </c>
      <c r="F51" s="2" t="s">
        <v>310</v>
      </c>
      <c r="G51" s="2" t="n">
        <v>40</v>
      </c>
      <c r="H51" s="2" t="n">
        <v>40</v>
      </c>
      <c r="I51" s="2" t="n">
        <v>10500</v>
      </c>
      <c r="J51" s="2"/>
      <c r="K51" s="2" t="s">
        <v>621</v>
      </c>
      <c r="L51" s="2"/>
    </row>
    <row r="52" customFormat="false" ht="15" hidden="false" customHeight="false" outlineLevel="0" collapsed="false">
      <c r="A52" s="2" t="s">
        <v>613</v>
      </c>
      <c r="B52" s="2" t="s">
        <v>318</v>
      </c>
      <c r="C52" s="2" t="s">
        <v>280</v>
      </c>
      <c r="D52" s="2"/>
      <c r="E52" s="2" t="s">
        <v>614</v>
      </c>
      <c r="F52" s="2" t="s">
        <v>308</v>
      </c>
      <c r="G52" s="2" t="n">
        <v>25</v>
      </c>
      <c r="H52" s="2" t="n">
        <v>25</v>
      </c>
      <c r="I52" s="2" t="n">
        <v>10500</v>
      </c>
      <c r="J52" s="2"/>
      <c r="K52" s="2" t="s">
        <v>621</v>
      </c>
      <c r="L52" s="2"/>
    </row>
    <row r="53" customFormat="false" ht="15" hidden="false" customHeight="false" outlineLevel="0" collapsed="false">
      <c r="A53" s="2" t="s">
        <v>613</v>
      </c>
      <c r="B53" s="2" t="s">
        <v>318</v>
      </c>
      <c r="C53" s="2" t="s">
        <v>280</v>
      </c>
      <c r="D53" s="2"/>
      <c r="E53" s="2" t="s">
        <v>614</v>
      </c>
      <c r="F53" s="2" t="s">
        <v>305</v>
      </c>
      <c r="G53" s="2" t="n">
        <v>25</v>
      </c>
      <c r="H53" s="2" t="n">
        <v>25</v>
      </c>
      <c r="I53" s="2" t="n">
        <v>10500</v>
      </c>
      <c r="J53" s="2"/>
      <c r="K53" s="2" t="s">
        <v>621</v>
      </c>
      <c r="L53" s="2"/>
    </row>
    <row r="54" customFormat="false" ht="15" hidden="false" customHeight="false" outlineLevel="0" collapsed="false">
      <c r="A54" s="2" t="s">
        <v>613</v>
      </c>
      <c r="B54" s="2" t="s">
        <v>318</v>
      </c>
      <c r="C54" s="2" t="s">
        <v>280</v>
      </c>
      <c r="D54" s="2"/>
      <c r="E54" s="2" t="s">
        <v>614</v>
      </c>
      <c r="F54" s="2" t="s">
        <v>309</v>
      </c>
      <c r="G54" s="2" t="n">
        <v>30</v>
      </c>
      <c r="H54" s="2" t="n">
        <v>30</v>
      </c>
      <c r="I54" s="2" t="n">
        <v>11500</v>
      </c>
      <c r="J54" s="2"/>
      <c r="K54" s="2" t="s">
        <v>622</v>
      </c>
      <c r="L54" s="2"/>
    </row>
    <row r="55" customFormat="false" ht="15" hidden="false" customHeight="false" outlineLevel="0" collapsed="false">
      <c r="A55" s="2" t="s">
        <v>613</v>
      </c>
      <c r="B55" s="2" t="s">
        <v>318</v>
      </c>
      <c r="C55" s="2" t="s">
        <v>280</v>
      </c>
      <c r="D55" s="2"/>
      <c r="E55" s="2" t="s">
        <v>614</v>
      </c>
      <c r="F55" s="2" t="s">
        <v>324</v>
      </c>
      <c r="G55" s="2" t="n">
        <v>40</v>
      </c>
      <c r="H55" s="2" t="n">
        <v>40</v>
      </c>
      <c r="I55" s="2" t="n">
        <v>14700</v>
      </c>
      <c r="J55" s="2"/>
      <c r="K55" s="2" t="s">
        <v>623</v>
      </c>
      <c r="L55" s="2"/>
    </row>
    <row r="56" customFormat="false" ht="15" hidden="false" customHeight="false" outlineLevel="0" collapsed="false">
      <c r="A56" s="2" t="s">
        <v>613</v>
      </c>
      <c r="B56" s="2" t="s">
        <v>318</v>
      </c>
      <c r="C56" s="2" t="s">
        <v>280</v>
      </c>
      <c r="D56" s="2"/>
      <c r="E56" s="2" t="s">
        <v>614</v>
      </c>
      <c r="F56" s="2" t="s">
        <v>325</v>
      </c>
      <c r="G56" s="2" t="n">
        <v>50</v>
      </c>
      <c r="H56" s="2" t="n">
        <v>50</v>
      </c>
      <c r="I56" s="2" t="n">
        <v>15800</v>
      </c>
      <c r="J56" s="2"/>
      <c r="K56" s="2" t="s">
        <v>624</v>
      </c>
      <c r="L56" s="2"/>
    </row>
    <row r="57" customFormat="false" ht="15" hidden="false" customHeight="false" outlineLevel="0" collapsed="false">
      <c r="A57" s="2" t="s">
        <v>613</v>
      </c>
      <c r="B57" s="2" t="s">
        <v>318</v>
      </c>
      <c r="C57" s="2" t="s">
        <v>280</v>
      </c>
      <c r="D57" s="2"/>
      <c r="E57" s="2" t="s">
        <v>614</v>
      </c>
      <c r="F57" s="2" t="s">
        <v>326</v>
      </c>
      <c r="G57" s="2" t="n">
        <v>60</v>
      </c>
      <c r="H57" s="2" t="n">
        <v>60</v>
      </c>
      <c r="I57" s="2" t="n">
        <v>21900</v>
      </c>
      <c r="J57" s="2"/>
      <c r="K57" s="2" t="s">
        <v>625</v>
      </c>
      <c r="L57" s="2"/>
    </row>
    <row r="58" customFormat="false" ht="15" hidden="false" customHeight="false" outlineLevel="0" collapsed="false">
      <c r="A58" s="2" t="s">
        <v>613</v>
      </c>
      <c r="B58" s="2" t="s">
        <v>318</v>
      </c>
      <c r="C58" s="2" t="s">
        <v>280</v>
      </c>
      <c r="D58" s="2"/>
      <c r="E58" s="2" t="s">
        <v>614</v>
      </c>
      <c r="F58" s="2" t="s">
        <v>327</v>
      </c>
      <c r="G58" s="2" t="n">
        <v>70</v>
      </c>
      <c r="H58" s="2" t="n">
        <v>70</v>
      </c>
      <c r="I58" s="2" t="n">
        <v>32100</v>
      </c>
      <c r="J58" s="2"/>
      <c r="K58" s="2" t="s">
        <v>626</v>
      </c>
      <c r="L58" s="2"/>
    </row>
    <row r="59" customFormat="false" ht="15" hidden="false" customHeight="false" outlineLevel="0" collapsed="false">
      <c r="A59" s="2" t="s">
        <v>613</v>
      </c>
      <c r="B59" s="2" t="s">
        <v>318</v>
      </c>
      <c r="C59" s="2" t="s">
        <v>280</v>
      </c>
      <c r="D59" s="2"/>
      <c r="E59" s="2" t="s">
        <v>614</v>
      </c>
      <c r="F59" s="2" t="s">
        <v>312</v>
      </c>
      <c r="G59" s="2" t="n">
        <v>20</v>
      </c>
      <c r="H59" s="2" t="n">
        <v>20</v>
      </c>
      <c r="I59" s="2" t="n">
        <v>6100</v>
      </c>
      <c r="J59" s="2"/>
      <c r="K59" s="2" t="s">
        <v>627</v>
      </c>
      <c r="L59" s="2"/>
    </row>
    <row r="60" customFormat="false" ht="15" hidden="false" customHeight="false" outlineLevel="0" collapsed="false">
      <c r="A60" s="2" t="s">
        <v>613</v>
      </c>
      <c r="B60" s="2" t="s">
        <v>318</v>
      </c>
      <c r="C60" s="2" t="s">
        <v>280</v>
      </c>
      <c r="D60" s="2"/>
      <c r="E60" s="2" t="s">
        <v>614</v>
      </c>
      <c r="F60" s="2" t="s">
        <v>313</v>
      </c>
      <c r="G60" s="2" t="n">
        <v>20</v>
      </c>
      <c r="H60" s="2" t="n">
        <v>20</v>
      </c>
      <c r="I60" s="2" t="n">
        <v>6300</v>
      </c>
      <c r="J60" s="2"/>
      <c r="K60" s="2" t="s">
        <v>628</v>
      </c>
      <c r="L60" s="2"/>
    </row>
    <row r="61" customFormat="false" ht="15" hidden="false" customHeight="false" outlineLevel="0" collapsed="false">
      <c r="A61" s="2" t="s">
        <v>613</v>
      </c>
      <c r="B61" s="2" t="s">
        <v>318</v>
      </c>
      <c r="C61" s="2" t="s">
        <v>280</v>
      </c>
      <c r="D61" s="2"/>
      <c r="E61" s="2" t="s">
        <v>614</v>
      </c>
      <c r="F61" s="2" t="s">
        <v>328</v>
      </c>
      <c r="G61" s="2" t="n">
        <v>30</v>
      </c>
      <c r="H61" s="2" t="n">
        <v>30</v>
      </c>
      <c r="I61" s="2" t="n">
        <v>9500</v>
      </c>
      <c r="J61" s="2"/>
      <c r="K61" s="2" t="s">
        <v>629</v>
      </c>
      <c r="L61" s="2"/>
    </row>
    <row r="62" customFormat="false" ht="15" hidden="false" customHeight="false" outlineLevel="0" collapsed="false">
      <c r="A62" s="2" t="s">
        <v>613</v>
      </c>
      <c r="B62" s="2" t="s">
        <v>318</v>
      </c>
      <c r="C62" s="2" t="s">
        <v>280</v>
      </c>
      <c r="D62" s="2"/>
      <c r="E62" s="2" t="s">
        <v>614</v>
      </c>
      <c r="F62" s="2" t="s">
        <v>329</v>
      </c>
      <c r="G62" s="2" t="n">
        <v>40</v>
      </c>
      <c r="H62" s="2" t="n">
        <v>40</v>
      </c>
      <c r="I62" s="2" t="n">
        <v>11000</v>
      </c>
      <c r="J62" s="2"/>
      <c r="K62" s="2" t="s">
        <v>630</v>
      </c>
      <c r="L62" s="2"/>
    </row>
    <row r="63" customFormat="false" ht="15" hidden="false" customHeight="false" outlineLevel="0" collapsed="false">
      <c r="A63" s="2" t="s">
        <v>613</v>
      </c>
      <c r="B63" s="2" t="s">
        <v>318</v>
      </c>
      <c r="C63" s="2" t="s">
        <v>280</v>
      </c>
      <c r="D63" s="2"/>
      <c r="E63" s="2" t="s">
        <v>614</v>
      </c>
      <c r="F63" s="2" t="s">
        <v>330</v>
      </c>
      <c r="G63" s="2" t="n">
        <v>30</v>
      </c>
      <c r="H63" s="2" t="n">
        <v>30</v>
      </c>
      <c r="I63" s="2" t="n">
        <v>11800</v>
      </c>
      <c r="J63" s="2"/>
      <c r="K63" s="2" t="s">
        <v>631</v>
      </c>
      <c r="L63" s="2"/>
    </row>
    <row r="64" customFormat="false" ht="15" hidden="false" customHeight="false" outlineLevel="0" collapsed="false">
      <c r="A64" s="2" t="s">
        <v>613</v>
      </c>
      <c r="B64" s="2" t="s">
        <v>318</v>
      </c>
      <c r="C64" s="2" t="s">
        <v>280</v>
      </c>
      <c r="D64" s="2"/>
      <c r="E64" s="2" t="s">
        <v>614</v>
      </c>
      <c r="F64" s="2" t="s">
        <v>316</v>
      </c>
      <c r="G64" s="2" t="n">
        <v>60</v>
      </c>
      <c r="H64" s="2" t="n">
        <v>60</v>
      </c>
      <c r="I64" s="2" t="n">
        <v>14700</v>
      </c>
      <c r="J64" s="2"/>
      <c r="K64" s="2" t="s">
        <v>632</v>
      </c>
      <c r="L64" s="2"/>
    </row>
    <row r="65" customFormat="false" ht="15" hidden="false" customHeight="false" outlineLevel="0" collapsed="false">
      <c r="A65" s="2" t="s">
        <v>633</v>
      </c>
      <c r="B65" s="2" t="s">
        <v>331</v>
      </c>
      <c r="C65" s="2" t="s">
        <v>280</v>
      </c>
      <c r="D65" s="2"/>
      <c r="E65" s="2" t="s">
        <v>333</v>
      </c>
      <c r="F65" s="2" t="s">
        <v>332</v>
      </c>
      <c r="G65" s="2" t="n">
        <v>40</v>
      </c>
      <c r="H65" s="2"/>
      <c r="I65" s="2" t="n">
        <v>69000</v>
      </c>
      <c r="J65" s="2"/>
      <c r="K65" s="2" t="s">
        <v>634</v>
      </c>
      <c r="L65" s="2"/>
    </row>
    <row r="66" customFormat="false" ht="15" hidden="false" customHeight="false" outlineLevel="0" collapsed="false">
      <c r="A66" s="2" t="s">
        <v>633</v>
      </c>
      <c r="B66" s="2" t="s">
        <v>331</v>
      </c>
      <c r="C66" s="2" t="s">
        <v>280</v>
      </c>
      <c r="D66" s="2"/>
      <c r="E66" s="2" t="s">
        <v>333</v>
      </c>
      <c r="F66" s="2" t="s">
        <v>334</v>
      </c>
      <c r="G66" s="2" t="n">
        <v>40</v>
      </c>
      <c r="H66" s="2"/>
      <c r="I66" s="2" t="n">
        <v>69000</v>
      </c>
      <c r="J66" s="2"/>
      <c r="K66" s="2" t="s">
        <v>635</v>
      </c>
      <c r="L66" s="2"/>
    </row>
    <row r="67" customFormat="false" ht="15" hidden="false" customHeight="false" outlineLevel="0" collapsed="false">
      <c r="A67" s="2" t="s">
        <v>636</v>
      </c>
      <c r="B67" s="2" t="s">
        <v>335</v>
      </c>
      <c r="C67" s="2" t="s">
        <v>280</v>
      </c>
      <c r="D67" s="2"/>
      <c r="E67" s="2" t="s">
        <v>614</v>
      </c>
      <c r="F67" s="2" t="s">
        <v>637</v>
      </c>
      <c r="G67" s="2" t="n">
        <v>30</v>
      </c>
      <c r="H67" s="2" t="n">
        <v>30</v>
      </c>
      <c r="I67" s="2" t="n">
        <v>15000</v>
      </c>
      <c r="J67" s="2"/>
      <c r="K67" s="2" t="s">
        <v>638</v>
      </c>
      <c r="L67" s="2"/>
    </row>
    <row r="68" customFormat="false" ht="15" hidden="false" customHeight="false" outlineLevel="0" collapsed="false">
      <c r="A68" s="2" t="s">
        <v>639</v>
      </c>
      <c r="B68" s="2" t="s">
        <v>337</v>
      </c>
      <c r="C68" s="2" t="s">
        <v>280</v>
      </c>
      <c r="D68" s="2"/>
      <c r="E68" s="2" t="s">
        <v>614</v>
      </c>
      <c r="F68" s="2" t="s">
        <v>336</v>
      </c>
      <c r="G68" s="2" t="n">
        <v>30</v>
      </c>
      <c r="H68" s="2" t="n">
        <v>30</v>
      </c>
      <c r="I68" s="2" t="n">
        <v>15000</v>
      </c>
      <c r="J68" s="2"/>
      <c r="K68" s="2" t="s">
        <v>638</v>
      </c>
      <c r="L68" s="2"/>
    </row>
    <row r="69" customFormat="false" ht="15" hidden="false" customHeight="false" outlineLevel="0" collapsed="false">
      <c r="A69" s="2" t="s">
        <v>640</v>
      </c>
      <c r="B69" s="2" t="s">
        <v>338</v>
      </c>
      <c r="C69" s="2" t="s">
        <v>280</v>
      </c>
      <c r="D69" s="2"/>
      <c r="E69" s="2" t="s">
        <v>281</v>
      </c>
      <c r="F69" s="2" t="s">
        <v>339</v>
      </c>
      <c r="G69" s="2" t="n">
        <v>25</v>
      </c>
      <c r="H69" s="2" t="n">
        <v>30</v>
      </c>
      <c r="I69" s="2" t="n">
        <v>23000</v>
      </c>
      <c r="J69" s="2"/>
      <c r="K69" s="2" t="s">
        <v>641</v>
      </c>
      <c r="L69" s="2"/>
    </row>
    <row r="70" customFormat="false" ht="15" hidden="false" customHeight="false" outlineLevel="0" collapsed="false">
      <c r="A70" s="2" t="s">
        <v>640</v>
      </c>
      <c r="B70" s="2" t="s">
        <v>338</v>
      </c>
      <c r="C70" s="2" t="s">
        <v>280</v>
      </c>
      <c r="D70" s="2"/>
      <c r="E70" s="2" t="s">
        <v>281</v>
      </c>
      <c r="F70" s="2" t="s">
        <v>340</v>
      </c>
      <c r="G70" s="2" t="n">
        <v>30</v>
      </c>
      <c r="H70" s="2" t="n">
        <v>30</v>
      </c>
      <c r="I70" s="2" t="n">
        <v>29600</v>
      </c>
      <c r="J70" s="2"/>
      <c r="K70" s="2" t="s">
        <v>642</v>
      </c>
      <c r="L70" s="2"/>
    </row>
    <row r="71" customFormat="false" ht="15" hidden="false" customHeight="false" outlineLevel="0" collapsed="false">
      <c r="A71" s="2" t="s">
        <v>640</v>
      </c>
      <c r="B71" s="2" t="s">
        <v>338</v>
      </c>
      <c r="C71" s="2" t="s">
        <v>280</v>
      </c>
      <c r="D71" s="2"/>
      <c r="E71" s="2" t="s">
        <v>281</v>
      </c>
      <c r="F71" s="2" t="s">
        <v>341</v>
      </c>
      <c r="G71" s="2" t="n">
        <v>40</v>
      </c>
      <c r="H71" s="2" t="n">
        <v>40</v>
      </c>
      <c r="I71" s="2" t="n">
        <v>41700</v>
      </c>
      <c r="J71" s="2"/>
      <c r="K71" s="2" t="s">
        <v>643</v>
      </c>
      <c r="L71" s="2"/>
    </row>
    <row r="72" customFormat="false" ht="15" hidden="false" customHeight="false" outlineLevel="0" collapsed="false">
      <c r="A72" s="2" t="s">
        <v>644</v>
      </c>
      <c r="B72" s="2" t="s">
        <v>342</v>
      </c>
      <c r="C72" s="2" t="s">
        <v>280</v>
      </c>
      <c r="D72" s="2"/>
      <c r="E72" s="2" t="s">
        <v>645</v>
      </c>
      <c r="F72" s="2" t="s">
        <v>343</v>
      </c>
      <c r="G72" s="2" t="n">
        <v>30</v>
      </c>
      <c r="H72" s="2"/>
      <c r="I72" s="2" t="n">
        <v>9000</v>
      </c>
      <c r="J72" s="2"/>
      <c r="K72" s="2" t="s">
        <v>646</v>
      </c>
      <c r="L72" s="2"/>
    </row>
    <row r="73" customFormat="false" ht="15" hidden="false" customHeight="false" outlineLevel="0" collapsed="false">
      <c r="A73" s="2" t="s">
        <v>644</v>
      </c>
      <c r="B73" s="2" t="s">
        <v>342</v>
      </c>
      <c r="C73" s="2" t="s">
        <v>280</v>
      </c>
      <c r="D73" s="2"/>
      <c r="E73" s="2" t="s">
        <v>645</v>
      </c>
      <c r="F73" s="2" t="s">
        <v>301</v>
      </c>
      <c r="G73" s="2" t="n">
        <v>50</v>
      </c>
      <c r="H73" s="2"/>
      <c r="I73" s="2" t="n">
        <v>12100</v>
      </c>
      <c r="J73" s="2"/>
      <c r="K73" s="2" t="s">
        <v>647</v>
      </c>
      <c r="L73" s="2"/>
    </row>
    <row r="74" customFormat="false" ht="15" hidden="false" customHeight="false" outlineLevel="0" collapsed="false">
      <c r="A74" s="2" t="s">
        <v>644</v>
      </c>
      <c r="B74" s="2" t="s">
        <v>342</v>
      </c>
      <c r="C74" s="2" t="s">
        <v>280</v>
      </c>
      <c r="D74" s="2"/>
      <c r="E74" s="2" t="s">
        <v>645</v>
      </c>
      <c r="F74" s="2" t="s">
        <v>345</v>
      </c>
      <c r="G74" s="2" t="n">
        <v>60</v>
      </c>
      <c r="H74" s="2"/>
      <c r="I74" s="2" t="n">
        <v>20500</v>
      </c>
      <c r="J74" s="2"/>
      <c r="K74" s="2" t="s">
        <v>648</v>
      </c>
      <c r="L74" s="2"/>
    </row>
    <row r="75" customFormat="false" ht="15" hidden="false" customHeight="false" outlineLevel="0" collapsed="false">
      <c r="A75" s="2" t="s">
        <v>644</v>
      </c>
      <c r="B75" s="2" t="s">
        <v>342</v>
      </c>
      <c r="C75" s="2" t="s">
        <v>280</v>
      </c>
      <c r="D75" s="2"/>
      <c r="E75" s="2" t="s">
        <v>645</v>
      </c>
      <c r="F75" s="2" t="s">
        <v>346</v>
      </c>
      <c r="G75" s="2" t="n">
        <v>70</v>
      </c>
      <c r="H75" s="2"/>
      <c r="I75" s="2" t="n">
        <v>23700</v>
      </c>
      <c r="J75" s="2"/>
      <c r="K75" s="2" t="s">
        <v>649</v>
      </c>
      <c r="L75" s="2"/>
    </row>
    <row r="76" customFormat="false" ht="15" hidden="false" customHeight="false" outlineLevel="0" collapsed="false">
      <c r="A76" s="2" t="s">
        <v>650</v>
      </c>
      <c r="B76" s="2" t="s">
        <v>347</v>
      </c>
      <c r="C76" s="2" t="s">
        <v>280</v>
      </c>
      <c r="D76" s="2"/>
      <c r="E76" s="2" t="s">
        <v>333</v>
      </c>
      <c r="F76" s="2" t="s">
        <v>348</v>
      </c>
      <c r="G76" s="2" t="n">
        <v>30</v>
      </c>
      <c r="H76" s="2"/>
      <c r="I76" s="2" t="n">
        <v>7900</v>
      </c>
      <c r="J76" s="2"/>
      <c r="K76" s="2" t="s">
        <v>651</v>
      </c>
      <c r="L76" s="2"/>
    </row>
    <row r="77" customFormat="false" ht="15" hidden="false" customHeight="false" outlineLevel="0" collapsed="false">
      <c r="A77" s="2" t="s">
        <v>650</v>
      </c>
      <c r="B77" s="2" t="s">
        <v>347</v>
      </c>
      <c r="C77" s="2" t="s">
        <v>280</v>
      </c>
      <c r="D77" s="2"/>
      <c r="E77" s="2" t="s">
        <v>333</v>
      </c>
      <c r="F77" s="2" t="s">
        <v>349</v>
      </c>
      <c r="G77" s="2" t="n">
        <v>40</v>
      </c>
      <c r="H77" s="2"/>
      <c r="I77" s="2" t="n">
        <v>10000</v>
      </c>
      <c r="J77" s="2"/>
      <c r="K77" s="2" t="s">
        <v>652</v>
      </c>
      <c r="L77" s="2"/>
    </row>
    <row r="78" customFormat="false" ht="15" hidden="false" customHeight="false" outlineLevel="0" collapsed="false">
      <c r="A78" s="2" t="s">
        <v>653</v>
      </c>
      <c r="B78" s="2" t="s">
        <v>350</v>
      </c>
      <c r="C78" s="2" t="s">
        <v>280</v>
      </c>
      <c r="D78" s="2"/>
      <c r="E78" s="2" t="s">
        <v>333</v>
      </c>
      <c r="F78" s="2" t="s">
        <v>351</v>
      </c>
      <c r="G78" s="2" t="n">
        <v>20</v>
      </c>
      <c r="H78" s="2"/>
      <c r="I78" s="2" t="n">
        <v>4400</v>
      </c>
      <c r="J78" s="2"/>
      <c r="K78" s="2" t="s">
        <v>654</v>
      </c>
      <c r="L78" s="2"/>
    </row>
    <row r="79" customFormat="false" ht="15" hidden="false" customHeight="false" outlineLevel="0" collapsed="false">
      <c r="A79" s="2" t="s">
        <v>653</v>
      </c>
      <c r="B79" s="2" t="s">
        <v>350</v>
      </c>
      <c r="C79" s="2" t="s">
        <v>280</v>
      </c>
      <c r="D79" s="2"/>
      <c r="E79" s="2" t="s">
        <v>333</v>
      </c>
      <c r="F79" s="2" t="s">
        <v>352</v>
      </c>
      <c r="G79" s="2" t="n">
        <v>20</v>
      </c>
      <c r="H79" s="2"/>
      <c r="I79" s="2" t="n">
        <v>6600</v>
      </c>
      <c r="J79" s="2"/>
      <c r="K79" s="2" t="s">
        <v>654</v>
      </c>
      <c r="L79" s="2"/>
    </row>
    <row r="80" customFormat="false" ht="15" hidden="false" customHeight="false" outlineLevel="0" collapsed="false">
      <c r="A80" s="2" t="s">
        <v>653</v>
      </c>
      <c r="B80" s="2" t="s">
        <v>350</v>
      </c>
      <c r="C80" s="2" t="s">
        <v>280</v>
      </c>
      <c r="D80" s="2"/>
      <c r="E80" s="2" t="s">
        <v>333</v>
      </c>
      <c r="F80" s="2" t="s">
        <v>353</v>
      </c>
      <c r="G80" s="2" t="n">
        <v>25</v>
      </c>
      <c r="H80" s="2"/>
      <c r="I80" s="2" t="n">
        <v>11600</v>
      </c>
      <c r="J80" s="2"/>
      <c r="K80" s="2" t="s">
        <v>655</v>
      </c>
      <c r="L80" s="2"/>
    </row>
    <row r="81" customFormat="false" ht="15" hidden="false" customHeight="false" outlineLevel="0" collapsed="false">
      <c r="A81" s="2" t="s">
        <v>653</v>
      </c>
      <c r="B81" s="2" t="s">
        <v>350</v>
      </c>
      <c r="C81" s="2" t="s">
        <v>280</v>
      </c>
      <c r="D81" s="2"/>
      <c r="E81" s="2" t="s">
        <v>333</v>
      </c>
      <c r="F81" s="2" t="s">
        <v>354</v>
      </c>
      <c r="G81" s="2" t="n">
        <v>35</v>
      </c>
      <c r="H81" s="2"/>
      <c r="I81" s="2" t="n">
        <v>16500</v>
      </c>
      <c r="J81" s="2"/>
      <c r="K81" s="2" t="s">
        <v>656</v>
      </c>
      <c r="L81" s="2"/>
    </row>
    <row r="82" customFormat="false" ht="15" hidden="false" customHeight="false" outlineLevel="0" collapsed="false">
      <c r="A82" s="2" t="s">
        <v>653</v>
      </c>
      <c r="B82" s="2" t="s">
        <v>350</v>
      </c>
      <c r="C82" s="2" t="s">
        <v>280</v>
      </c>
      <c r="D82" s="2"/>
      <c r="E82" s="2" t="s">
        <v>333</v>
      </c>
      <c r="F82" s="2" t="s">
        <v>355</v>
      </c>
      <c r="G82" s="2" t="n">
        <v>45</v>
      </c>
      <c r="H82" s="2"/>
      <c r="I82" s="2" t="n">
        <v>23700</v>
      </c>
      <c r="J82" s="2"/>
      <c r="K82" s="2" t="s">
        <v>657</v>
      </c>
      <c r="L82" s="2"/>
    </row>
    <row r="83" customFormat="false" ht="15" hidden="false" customHeight="false" outlineLevel="0" collapsed="false">
      <c r="A83" s="2" t="s">
        <v>658</v>
      </c>
      <c r="B83" s="2" t="s">
        <v>356</v>
      </c>
      <c r="C83" s="2" t="s">
        <v>280</v>
      </c>
      <c r="D83" s="2"/>
      <c r="E83" s="2" t="s">
        <v>333</v>
      </c>
      <c r="F83" s="2" t="s">
        <v>357</v>
      </c>
      <c r="G83" s="2" t="n">
        <v>30</v>
      </c>
      <c r="H83" s="2"/>
      <c r="I83" s="2" t="n">
        <v>27500</v>
      </c>
      <c r="J83" s="2"/>
      <c r="K83" s="2" t="s">
        <v>659</v>
      </c>
      <c r="L83" s="2"/>
    </row>
    <row r="84" customFormat="false" ht="15" hidden="false" customHeight="false" outlineLevel="0" collapsed="false">
      <c r="A84" s="2" t="s">
        <v>660</v>
      </c>
      <c r="B84" s="2" t="s">
        <v>358</v>
      </c>
      <c r="C84" s="2" t="s">
        <v>280</v>
      </c>
      <c r="D84" s="2"/>
      <c r="E84" s="2" t="s">
        <v>614</v>
      </c>
      <c r="F84" s="2" t="s">
        <v>359</v>
      </c>
      <c r="G84" s="2" t="n">
        <v>45</v>
      </c>
      <c r="H84" s="2" t="n">
        <v>30</v>
      </c>
      <c r="I84" s="2" t="n">
        <v>9500</v>
      </c>
      <c r="J84" s="2"/>
      <c r="K84" s="2" t="s">
        <v>661</v>
      </c>
      <c r="L84" s="2"/>
    </row>
    <row r="85" customFormat="false" ht="15" hidden="false" customHeight="false" outlineLevel="0" collapsed="false">
      <c r="A85" s="2" t="s">
        <v>660</v>
      </c>
      <c r="B85" s="2" t="s">
        <v>358</v>
      </c>
      <c r="C85" s="2" t="s">
        <v>280</v>
      </c>
      <c r="D85" s="2"/>
      <c r="E85" s="2" t="s">
        <v>614</v>
      </c>
      <c r="F85" s="2" t="s">
        <v>360</v>
      </c>
      <c r="G85" s="2" t="n">
        <v>60</v>
      </c>
      <c r="H85" s="2" t="n">
        <v>50</v>
      </c>
      <c r="I85" s="2" t="n">
        <v>14500</v>
      </c>
      <c r="J85" s="2"/>
      <c r="K85" s="2" t="s">
        <v>662</v>
      </c>
      <c r="L85" s="2"/>
    </row>
    <row r="86" customFormat="false" ht="15" hidden="false" customHeight="false" outlineLevel="0" collapsed="false">
      <c r="A86" s="2" t="s">
        <v>660</v>
      </c>
      <c r="B86" s="2" t="s">
        <v>358</v>
      </c>
      <c r="C86" s="2" t="s">
        <v>280</v>
      </c>
      <c r="D86" s="2"/>
      <c r="E86" s="2" t="s">
        <v>614</v>
      </c>
      <c r="F86" s="2" t="s">
        <v>361</v>
      </c>
      <c r="G86" s="2" t="n">
        <v>70</v>
      </c>
      <c r="H86" s="2" t="n">
        <v>60</v>
      </c>
      <c r="I86" s="2" t="n">
        <v>18500</v>
      </c>
      <c r="J86" s="2"/>
      <c r="K86" s="2" t="s">
        <v>663</v>
      </c>
      <c r="L86" s="2"/>
    </row>
    <row r="87" customFormat="false" ht="15" hidden="false" customHeight="false" outlineLevel="0" collapsed="false">
      <c r="A87" s="2" t="s">
        <v>660</v>
      </c>
      <c r="B87" s="2" t="s">
        <v>358</v>
      </c>
      <c r="C87" s="2" t="s">
        <v>280</v>
      </c>
      <c r="D87" s="2"/>
      <c r="E87" s="2" t="s">
        <v>614</v>
      </c>
      <c r="F87" s="2" t="s">
        <v>362</v>
      </c>
      <c r="G87" s="2" t="n">
        <v>70</v>
      </c>
      <c r="H87" s="2" t="n">
        <v>60</v>
      </c>
      <c r="I87" s="2" t="n">
        <v>18500</v>
      </c>
      <c r="J87" s="2"/>
      <c r="K87" s="2" t="s">
        <v>663</v>
      </c>
      <c r="L87" s="2"/>
    </row>
    <row r="88" customFormat="false" ht="15" hidden="false" customHeight="false" outlineLevel="0" collapsed="false">
      <c r="A88" s="2" t="s">
        <v>660</v>
      </c>
      <c r="B88" s="2" t="s">
        <v>358</v>
      </c>
      <c r="C88" s="2" t="s">
        <v>280</v>
      </c>
      <c r="D88" s="2"/>
      <c r="E88" s="2" t="s">
        <v>614</v>
      </c>
      <c r="F88" s="2" t="s">
        <v>363</v>
      </c>
      <c r="G88" s="2" t="n">
        <v>70</v>
      </c>
      <c r="H88" s="2" t="n">
        <v>60</v>
      </c>
      <c r="I88" s="2" t="n">
        <v>18500</v>
      </c>
      <c r="J88" s="2"/>
      <c r="K88" s="2" t="s">
        <v>663</v>
      </c>
      <c r="L88" s="2"/>
    </row>
    <row r="89" customFormat="false" ht="15" hidden="false" customHeight="false" outlineLevel="0" collapsed="false">
      <c r="A89" s="2" t="s">
        <v>660</v>
      </c>
      <c r="B89" s="2" t="s">
        <v>358</v>
      </c>
      <c r="C89" s="2" t="s">
        <v>280</v>
      </c>
      <c r="D89" s="2"/>
      <c r="E89" s="2" t="s">
        <v>614</v>
      </c>
      <c r="F89" s="2" t="s">
        <v>364</v>
      </c>
      <c r="G89" s="2" t="n">
        <v>70</v>
      </c>
      <c r="H89" s="2" t="n">
        <v>60</v>
      </c>
      <c r="I89" s="2" t="n">
        <v>18500</v>
      </c>
      <c r="J89" s="2"/>
      <c r="K89" s="2" t="s">
        <v>663</v>
      </c>
      <c r="L89" s="2"/>
    </row>
    <row r="90" customFormat="false" ht="15" hidden="false" customHeight="false" outlineLevel="0" collapsed="false">
      <c r="A90" s="2" t="s">
        <v>660</v>
      </c>
      <c r="B90" s="2" t="s">
        <v>358</v>
      </c>
      <c r="C90" s="2" t="s">
        <v>280</v>
      </c>
      <c r="D90" s="2"/>
      <c r="E90" s="2" t="s">
        <v>614</v>
      </c>
      <c r="F90" s="2" t="s">
        <v>365</v>
      </c>
      <c r="G90" s="2" t="n">
        <v>70</v>
      </c>
      <c r="H90" s="2" t="n">
        <v>60</v>
      </c>
      <c r="I90" s="2" t="n">
        <v>18500</v>
      </c>
      <c r="J90" s="2"/>
      <c r="K90" s="2" t="s">
        <v>663</v>
      </c>
      <c r="L90" s="2"/>
    </row>
    <row r="91" customFormat="false" ht="15" hidden="false" customHeight="false" outlineLevel="0" collapsed="false">
      <c r="A91" s="2" t="s">
        <v>664</v>
      </c>
      <c r="B91" s="2" t="s">
        <v>366</v>
      </c>
      <c r="C91" s="2" t="s">
        <v>280</v>
      </c>
      <c r="D91" s="2"/>
      <c r="E91" s="2" t="s">
        <v>614</v>
      </c>
      <c r="F91" s="2" t="s">
        <v>367</v>
      </c>
      <c r="G91" s="2" t="n">
        <v>30</v>
      </c>
      <c r="H91" s="2" t="n">
        <v>30</v>
      </c>
      <c r="I91" s="2" t="n">
        <v>34900</v>
      </c>
      <c r="J91" s="2"/>
      <c r="K91" s="2" t="s">
        <v>665</v>
      </c>
      <c r="L91" s="2"/>
    </row>
    <row r="92" customFormat="false" ht="15" hidden="false" customHeight="false" outlineLevel="0" collapsed="false">
      <c r="A92" s="2" t="s">
        <v>664</v>
      </c>
      <c r="B92" s="2" t="s">
        <v>366</v>
      </c>
      <c r="C92" s="2" t="s">
        <v>280</v>
      </c>
      <c r="D92" s="2"/>
      <c r="E92" s="2" t="s">
        <v>614</v>
      </c>
      <c r="F92" s="2" t="s">
        <v>368</v>
      </c>
      <c r="G92" s="2" t="n">
        <v>30</v>
      </c>
      <c r="H92" s="2" t="n">
        <v>30</v>
      </c>
      <c r="I92" s="2" t="n">
        <v>34900</v>
      </c>
      <c r="J92" s="2"/>
      <c r="K92" s="2" t="s">
        <v>665</v>
      </c>
      <c r="L92" s="2"/>
    </row>
    <row r="93" customFormat="false" ht="15" hidden="false" customHeight="false" outlineLevel="0" collapsed="false">
      <c r="A93" s="2" t="s">
        <v>664</v>
      </c>
      <c r="B93" s="2" t="s">
        <v>366</v>
      </c>
      <c r="C93" s="2" t="s">
        <v>280</v>
      </c>
      <c r="D93" s="2"/>
      <c r="E93" s="2" t="s">
        <v>614</v>
      </c>
      <c r="F93" s="2" t="s">
        <v>369</v>
      </c>
      <c r="G93" s="2" t="n">
        <v>40</v>
      </c>
      <c r="H93" s="2" t="n">
        <v>40</v>
      </c>
      <c r="I93" s="2" t="n">
        <v>34900</v>
      </c>
      <c r="J93" s="2"/>
      <c r="K93" s="2" t="s">
        <v>665</v>
      </c>
      <c r="L93" s="2"/>
    </row>
    <row r="94" customFormat="false" ht="15" hidden="false" customHeight="false" outlineLevel="0" collapsed="false">
      <c r="A94" s="2" t="s">
        <v>664</v>
      </c>
      <c r="B94" s="2" t="s">
        <v>366</v>
      </c>
      <c r="C94" s="2" t="s">
        <v>280</v>
      </c>
      <c r="D94" s="2"/>
      <c r="E94" s="2" t="s">
        <v>614</v>
      </c>
      <c r="F94" s="2" t="s">
        <v>370</v>
      </c>
      <c r="G94" s="2" t="n">
        <v>40</v>
      </c>
      <c r="H94" s="2" t="n">
        <v>40</v>
      </c>
      <c r="I94" s="2" t="n">
        <v>39900</v>
      </c>
      <c r="J94" s="2"/>
      <c r="K94" s="2" t="s">
        <v>666</v>
      </c>
      <c r="L94" s="2"/>
    </row>
    <row r="95" customFormat="false" ht="15" hidden="false" customHeight="false" outlineLevel="0" collapsed="false">
      <c r="A95" s="2" t="s">
        <v>664</v>
      </c>
      <c r="B95" s="2" t="s">
        <v>366</v>
      </c>
      <c r="C95" s="2" t="s">
        <v>280</v>
      </c>
      <c r="D95" s="2"/>
      <c r="E95" s="2" t="s">
        <v>614</v>
      </c>
      <c r="F95" s="2" t="s">
        <v>301</v>
      </c>
      <c r="G95" s="2" t="n">
        <v>60</v>
      </c>
      <c r="H95" s="2" t="n">
        <v>60</v>
      </c>
      <c r="I95" s="2" t="n">
        <v>47900</v>
      </c>
      <c r="J95" s="2"/>
      <c r="K95" s="2" t="s">
        <v>667</v>
      </c>
      <c r="L95" s="2"/>
    </row>
    <row r="96" customFormat="false" ht="15" hidden="false" customHeight="false" outlineLevel="0" collapsed="false">
      <c r="A96" s="2" t="s">
        <v>664</v>
      </c>
      <c r="B96" s="2" t="s">
        <v>366</v>
      </c>
      <c r="C96" s="2" t="s">
        <v>280</v>
      </c>
      <c r="D96" s="2"/>
      <c r="E96" s="2" t="s">
        <v>614</v>
      </c>
      <c r="F96" s="2" t="s">
        <v>302</v>
      </c>
      <c r="G96" s="2" t="n">
        <v>60</v>
      </c>
      <c r="H96" s="2" t="n">
        <v>60</v>
      </c>
      <c r="I96" s="2" t="n">
        <v>55900</v>
      </c>
      <c r="J96" s="2"/>
      <c r="K96" s="2" t="s">
        <v>668</v>
      </c>
      <c r="L96" s="2"/>
    </row>
    <row r="97" customFormat="false" ht="15" hidden="false" customHeight="false" outlineLevel="0" collapsed="false">
      <c r="A97" s="2" t="s">
        <v>664</v>
      </c>
      <c r="B97" s="2" t="s">
        <v>366</v>
      </c>
      <c r="C97" s="2" t="s">
        <v>280</v>
      </c>
      <c r="D97" s="2"/>
      <c r="E97" s="2" t="s">
        <v>614</v>
      </c>
      <c r="F97" s="2" t="s">
        <v>305</v>
      </c>
      <c r="G97" s="2" t="n">
        <v>60</v>
      </c>
      <c r="H97" s="2" t="n">
        <v>60</v>
      </c>
      <c r="I97" s="2" t="n">
        <v>39900</v>
      </c>
      <c r="J97" s="2"/>
      <c r="K97" s="2" t="s">
        <v>666</v>
      </c>
      <c r="L97" s="2"/>
    </row>
    <row r="98" customFormat="false" ht="15" hidden="false" customHeight="false" outlineLevel="0" collapsed="false">
      <c r="A98" s="2" t="s">
        <v>664</v>
      </c>
      <c r="B98" s="2" t="s">
        <v>366</v>
      </c>
      <c r="C98" s="2" t="s">
        <v>280</v>
      </c>
      <c r="D98" s="2"/>
      <c r="E98" s="2" t="s">
        <v>614</v>
      </c>
      <c r="F98" s="2" t="s">
        <v>371</v>
      </c>
      <c r="G98" s="2" t="n">
        <v>60</v>
      </c>
      <c r="H98" s="2" t="n">
        <v>60</v>
      </c>
      <c r="I98" s="2" t="n">
        <v>32900</v>
      </c>
      <c r="J98" s="2"/>
      <c r="K98" s="2" t="s">
        <v>669</v>
      </c>
      <c r="L98" s="2"/>
    </row>
    <row r="99" customFormat="false" ht="15" hidden="false" customHeight="false" outlineLevel="0" collapsed="false">
      <c r="A99" s="2" t="s">
        <v>664</v>
      </c>
      <c r="B99" s="2" t="s">
        <v>366</v>
      </c>
      <c r="C99" s="2" t="s">
        <v>280</v>
      </c>
      <c r="D99" s="2"/>
      <c r="E99" s="2" t="s">
        <v>614</v>
      </c>
      <c r="F99" s="2" t="s">
        <v>372</v>
      </c>
      <c r="G99" s="2" t="n">
        <v>60</v>
      </c>
      <c r="H99" s="2" t="n">
        <v>60</v>
      </c>
      <c r="I99" s="2" t="n">
        <v>34900</v>
      </c>
      <c r="J99" s="2"/>
      <c r="K99" s="2" t="s">
        <v>665</v>
      </c>
      <c r="L99" s="2"/>
    </row>
    <row r="100" customFormat="false" ht="15" hidden="false" customHeight="false" outlineLevel="0" collapsed="false">
      <c r="A100" s="2" t="s">
        <v>664</v>
      </c>
      <c r="B100" s="2" t="s">
        <v>366</v>
      </c>
      <c r="C100" s="2" t="s">
        <v>280</v>
      </c>
      <c r="D100" s="2"/>
      <c r="E100" s="2" t="s">
        <v>614</v>
      </c>
      <c r="F100" s="2" t="s">
        <v>373</v>
      </c>
      <c r="G100" s="2" t="n">
        <v>60</v>
      </c>
      <c r="H100" s="2" t="n">
        <v>60</v>
      </c>
      <c r="I100" s="2" t="n">
        <v>32900</v>
      </c>
      <c r="J100" s="2"/>
      <c r="K100" s="2" t="s">
        <v>669</v>
      </c>
      <c r="L100" s="2"/>
    </row>
    <row r="101" customFormat="false" ht="15" hidden="false" customHeight="false" outlineLevel="0" collapsed="false">
      <c r="A101" s="2" t="s">
        <v>664</v>
      </c>
      <c r="B101" s="2" t="s">
        <v>366</v>
      </c>
      <c r="C101" s="2" t="s">
        <v>280</v>
      </c>
      <c r="D101" s="2"/>
      <c r="E101" s="2" t="s">
        <v>614</v>
      </c>
      <c r="F101" s="2" t="s">
        <v>374</v>
      </c>
      <c r="G101" s="2" t="n">
        <v>60</v>
      </c>
      <c r="H101" s="2" t="n">
        <v>60</v>
      </c>
      <c r="I101" s="2" t="n">
        <v>34900</v>
      </c>
      <c r="J101" s="2"/>
      <c r="K101" s="2" t="s">
        <v>665</v>
      </c>
      <c r="L101" s="2"/>
    </row>
    <row r="102" customFormat="false" ht="15" hidden="false" customHeight="false" outlineLevel="0" collapsed="false">
      <c r="A102" s="2" t="s">
        <v>664</v>
      </c>
      <c r="B102" s="2" t="s">
        <v>366</v>
      </c>
      <c r="C102" s="2" t="s">
        <v>280</v>
      </c>
      <c r="D102" s="2"/>
      <c r="E102" s="2" t="s">
        <v>614</v>
      </c>
      <c r="F102" s="2" t="s">
        <v>375</v>
      </c>
      <c r="G102" s="2" t="n">
        <v>40</v>
      </c>
      <c r="H102" s="2" t="n">
        <v>40</v>
      </c>
      <c r="I102" s="2" t="n">
        <v>30900</v>
      </c>
      <c r="J102" s="2"/>
      <c r="K102" s="2" t="s">
        <v>670</v>
      </c>
      <c r="L102" s="2"/>
    </row>
    <row r="103" customFormat="false" ht="15" hidden="false" customHeight="false" outlineLevel="0" collapsed="false">
      <c r="A103" s="2" t="s">
        <v>664</v>
      </c>
      <c r="B103" s="2" t="s">
        <v>366</v>
      </c>
      <c r="C103" s="2" t="s">
        <v>280</v>
      </c>
      <c r="D103" s="2"/>
      <c r="E103" s="2" t="s">
        <v>614</v>
      </c>
      <c r="F103" s="2" t="s">
        <v>376</v>
      </c>
      <c r="G103" s="2" t="n">
        <v>50</v>
      </c>
      <c r="H103" s="2" t="n">
        <v>50</v>
      </c>
      <c r="I103" s="2" t="n">
        <v>34900</v>
      </c>
      <c r="J103" s="2"/>
      <c r="K103" s="2" t="s">
        <v>665</v>
      </c>
      <c r="L103" s="2"/>
    </row>
    <row r="104" customFormat="false" ht="15" hidden="false" customHeight="false" outlineLevel="0" collapsed="false">
      <c r="A104" s="2" t="s">
        <v>671</v>
      </c>
      <c r="B104" s="2" t="s">
        <v>377</v>
      </c>
      <c r="C104" s="2" t="s">
        <v>280</v>
      </c>
      <c r="D104" s="2"/>
      <c r="E104" s="2" t="s">
        <v>614</v>
      </c>
      <c r="F104" s="2" t="s">
        <v>301</v>
      </c>
      <c r="G104" s="2" t="n">
        <v>60</v>
      </c>
      <c r="H104" s="2" t="n">
        <v>60</v>
      </c>
      <c r="I104" s="2" t="n">
        <v>12500</v>
      </c>
      <c r="J104" s="2"/>
      <c r="K104" s="2" t="s">
        <v>672</v>
      </c>
      <c r="L104" s="2"/>
    </row>
    <row r="105" customFormat="false" ht="15" hidden="false" customHeight="false" outlineLevel="0" collapsed="false">
      <c r="A105" s="2" t="s">
        <v>673</v>
      </c>
      <c r="B105" s="2" t="s">
        <v>378</v>
      </c>
      <c r="C105" s="2" t="s">
        <v>280</v>
      </c>
      <c r="D105" s="2"/>
      <c r="E105" s="2" t="s">
        <v>614</v>
      </c>
      <c r="F105" s="2" t="s">
        <v>379</v>
      </c>
      <c r="G105" s="2" t="n">
        <v>30</v>
      </c>
      <c r="H105" s="2" t="n">
        <v>30</v>
      </c>
      <c r="I105" s="2" t="n">
        <v>14500</v>
      </c>
      <c r="J105" s="2"/>
      <c r="K105" s="2"/>
      <c r="L105" s="2"/>
    </row>
    <row r="106" customFormat="false" ht="15" hidden="false" customHeight="false" outlineLevel="0" collapsed="false">
      <c r="A106" s="2" t="s">
        <v>673</v>
      </c>
      <c r="B106" s="2" t="s">
        <v>378</v>
      </c>
      <c r="C106" s="2" t="s">
        <v>280</v>
      </c>
      <c r="D106" s="2"/>
      <c r="E106" s="2" t="s">
        <v>614</v>
      </c>
      <c r="F106" s="2" t="s">
        <v>380</v>
      </c>
      <c r="G106" s="2" t="n">
        <v>30</v>
      </c>
      <c r="H106" s="2" t="n">
        <v>30</v>
      </c>
      <c r="I106" s="2" t="n">
        <v>22500</v>
      </c>
      <c r="J106" s="2"/>
      <c r="K106" s="2"/>
      <c r="L106" s="2"/>
    </row>
    <row r="107" customFormat="false" ht="15" hidden="false" customHeight="false" outlineLevel="0" collapsed="false">
      <c r="A107" s="2" t="s">
        <v>673</v>
      </c>
      <c r="B107" s="2" t="s">
        <v>378</v>
      </c>
      <c r="C107" s="2" t="s">
        <v>280</v>
      </c>
      <c r="D107" s="2"/>
      <c r="E107" s="2" t="s">
        <v>614</v>
      </c>
      <c r="F107" s="2" t="s">
        <v>674</v>
      </c>
      <c r="G107" s="2" t="n">
        <v>30</v>
      </c>
      <c r="H107" s="2" t="n">
        <v>30</v>
      </c>
      <c r="I107" s="2" t="n">
        <v>29000</v>
      </c>
      <c r="J107" s="2"/>
      <c r="K107" s="2"/>
      <c r="L107" s="2"/>
    </row>
    <row r="108" customFormat="false" ht="15" hidden="false" customHeight="false" outlineLevel="0" collapsed="false">
      <c r="A108" s="2" t="s">
        <v>675</v>
      </c>
      <c r="B108" s="2" t="s">
        <v>382</v>
      </c>
      <c r="C108" s="2" t="s">
        <v>280</v>
      </c>
      <c r="D108" s="2"/>
      <c r="E108" s="2" t="s">
        <v>614</v>
      </c>
      <c r="F108" s="2" t="s">
        <v>382</v>
      </c>
      <c r="G108" s="2" t="n">
        <v>60</v>
      </c>
      <c r="H108" s="2" t="n">
        <v>60</v>
      </c>
      <c r="I108" s="2" t="n">
        <v>26000</v>
      </c>
      <c r="J108" s="2"/>
      <c r="K108" s="2" t="s">
        <v>676</v>
      </c>
      <c r="L108" s="2"/>
    </row>
    <row r="109" customFormat="false" ht="15" hidden="false" customHeight="false" outlineLevel="0" collapsed="false">
      <c r="A109" s="2" t="s">
        <v>677</v>
      </c>
      <c r="B109" s="2" t="s">
        <v>383</v>
      </c>
      <c r="C109" s="2" t="s">
        <v>280</v>
      </c>
      <c r="D109" s="2"/>
      <c r="E109" s="2" t="s">
        <v>614</v>
      </c>
      <c r="F109" s="2" t="s">
        <v>336</v>
      </c>
      <c r="G109" s="2" t="n">
        <v>30</v>
      </c>
      <c r="H109" s="2" t="n">
        <v>30</v>
      </c>
      <c r="I109" s="2" t="n">
        <v>15000</v>
      </c>
      <c r="J109" s="2"/>
      <c r="K109" s="2" t="s">
        <v>638</v>
      </c>
      <c r="L109" s="2"/>
    </row>
    <row r="110" customFormat="false" ht="15" hidden="false" customHeight="false" outlineLevel="0" collapsed="false">
      <c r="A110" s="2" t="s">
        <v>677</v>
      </c>
      <c r="B110" s="2" t="s">
        <v>383</v>
      </c>
      <c r="C110" s="2" t="s">
        <v>280</v>
      </c>
      <c r="D110" s="2"/>
      <c r="E110" s="2" t="s">
        <v>614</v>
      </c>
      <c r="F110" s="2" t="s">
        <v>345</v>
      </c>
      <c r="G110" s="2" t="n">
        <v>30</v>
      </c>
      <c r="H110" s="2" t="n">
        <v>30</v>
      </c>
      <c r="I110" s="2" t="n">
        <v>21000</v>
      </c>
      <c r="J110" s="2"/>
      <c r="K110" s="2" t="s">
        <v>678</v>
      </c>
      <c r="L110" s="2"/>
    </row>
    <row r="111" customFormat="false" ht="15" hidden="false" customHeight="false" outlineLevel="0" collapsed="false">
      <c r="A111" s="2" t="s">
        <v>679</v>
      </c>
      <c r="B111" s="2" t="s">
        <v>384</v>
      </c>
      <c r="C111" s="2" t="s">
        <v>280</v>
      </c>
      <c r="D111" s="2"/>
      <c r="E111" s="2" t="s">
        <v>614</v>
      </c>
      <c r="F111" s="2" t="s">
        <v>345</v>
      </c>
      <c r="G111" s="2" t="n">
        <v>45</v>
      </c>
      <c r="H111" s="2" t="n">
        <v>45</v>
      </c>
      <c r="I111" s="2" t="n">
        <v>21000</v>
      </c>
      <c r="J111" s="2"/>
      <c r="K111" s="2" t="s">
        <v>678</v>
      </c>
      <c r="L111" s="2" t="s">
        <v>614</v>
      </c>
    </row>
    <row r="112" customFormat="false" ht="15" hidden="false" customHeight="false" outlineLevel="0" collapsed="false">
      <c r="A112" s="2" t="s">
        <v>679</v>
      </c>
      <c r="B112" s="2" t="s">
        <v>384</v>
      </c>
      <c r="C112" s="2" t="s">
        <v>280</v>
      </c>
      <c r="D112" s="2"/>
      <c r="E112" s="2" t="s">
        <v>614</v>
      </c>
      <c r="F112" s="2" t="s">
        <v>336</v>
      </c>
      <c r="G112" s="2" t="n">
        <v>40</v>
      </c>
      <c r="H112" s="2" t="n">
        <v>40</v>
      </c>
      <c r="I112" s="2" t="n">
        <v>15000</v>
      </c>
      <c r="J112" s="2"/>
      <c r="K112" s="2" t="s">
        <v>638</v>
      </c>
      <c r="L112" s="2" t="s">
        <v>614</v>
      </c>
    </row>
    <row r="113" customFormat="false" ht="15" hidden="false" customHeight="false" outlineLevel="0" collapsed="false">
      <c r="A113" s="2" t="s">
        <v>680</v>
      </c>
      <c r="B113" s="2" t="s">
        <v>385</v>
      </c>
      <c r="C113" s="2" t="s">
        <v>280</v>
      </c>
      <c r="D113" s="2"/>
      <c r="E113" s="2" t="s">
        <v>614</v>
      </c>
      <c r="F113" s="2" t="s">
        <v>385</v>
      </c>
      <c r="G113" s="2" t="n">
        <v>60</v>
      </c>
      <c r="H113" s="2" t="n">
        <v>60</v>
      </c>
      <c r="I113" s="2" t="n">
        <v>18000</v>
      </c>
      <c r="J113" s="2"/>
      <c r="K113" s="2" t="s">
        <v>681</v>
      </c>
      <c r="L113" s="2"/>
    </row>
    <row r="114" customFormat="false" ht="15" hidden="false" customHeight="false" outlineLevel="0" collapsed="false">
      <c r="A114" s="2" t="s">
        <v>682</v>
      </c>
      <c r="B114" s="2" t="s">
        <v>386</v>
      </c>
      <c r="C114" s="2" t="s">
        <v>280</v>
      </c>
      <c r="D114" s="2"/>
      <c r="E114" s="2" t="s">
        <v>614</v>
      </c>
      <c r="F114" s="2" t="s">
        <v>683</v>
      </c>
      <c r="G114" s="2" t="n">
        <v>35</v>
      </c>
      <c r="H114" s="2" t="n">
        <v>30</v>
      </c>
      <c r="I114" s="2" t="n">
        <v>7500</v>
      </c>
      <c r="J114" s="2"/>
      <c r="K114" s="2" t="s">
        <v>684</v>
      </c>
      <c r="L114" s="2"/>
    </row>
    <row r="115" customFormat="false" ht="15" hidden="false" customHeight="false" outlineLevel="0" collapsed="false">
      <c r="A115" s="2" t="s">
        <v>682</v>
      </c>
      <c r="B115" s="2" t="s">
        <v>386</v>
      </c>
      <c r="C115" s="2" t="s">
        <v>280</v>
      </c>
      <c r="D115" s="2"/>
      <c r="E115" s="2" t="s">
        <v>614</v>
      </c>
      <c r="F115" s="2" t="s">
        <v>685</v>
      </c>
      <c r="G115" s="2" t="n">
        <v>45</v>
      </c>
      <c r="H115" s="2" t="n">
        <v>45</v>
      </c>
      <c r="I115" s="2" t="n">
        <v>10500</v>
      </c>
      <c r="J115" s="2"/>
      <c r="K115" s="2" t="s">
        <v>686</v>
      </c>
      <c r="L115" s="2"/>
    </row>
    <row r="116" customFormat="false" ht="15" hidden="false" customHeight="false" outlineLevel="0" collapsed="false">
      <c r="A116" s="2" t="s">
        <v>682</v>
      </c>
      <c r="B116" s="2" t="s">
        <v>386</v>
      </c>
      <c r="C116" s="2" t="s">
        <v>280</v>
      </c>
      <c r="D116" s="2"/>
      <c r="E116" s="2" t="s">
        <v>614</v>
      </c>
      <c r="F116" s="2" t="s">
        <v>687</v>
      </c>
      <c r="G116" s="2" t="n">
        <v>60</v>
      </c>
      <c r="H116" s="2" t="n">
        <v>60</v>
      </c>
      <c r="I116" s="2" t="n">
        <v>12000</v>
      </c>
      <c r="J116" s="2"/>
      <c r="K116" s="2" t="s">
        <v>688</v>
      </c>
      <c r="L116" s="2"/>
    </row>
    <row r="117" customFormat="false" ht="15" hidden="false" customHeight="false" outlineLevel="0" collapsed="false">
      <c r="A117" s="2" t="s">
        <v>682</v>
      </c>
      <c r="B117" s="2" t="s">
        <v>386</v>
      </c>
      <c r="C117" s="2" t="s">
        <v>280</v>
      </c>
      <c r="D117" s="2"/>
      <c r="E117" s="2" t="s">
        <v>614</v>
      </c>
      <c r="F117" s="2" t="s">
        <v>689</v>
      </c>
      <c r="G117" s="2" t="n">
        <v>60</v>
      </c>
      <c r="H117" s="2" t="n">
        <v>60</v>
      </c>
      <c r="I117" s="2" t="n">
        <v>12500</v>
      </c>
      <c r="J117" s="2"/>
      <c r="K117" s="2" t="s">
        <v>690</v>
      </c>
      <c r="L117" s="2"/>
    </row>
    <row r="118" customFormat="false" ht="15" hidden="false" customHeight="false" outlineLevel="0" collapsed="false">
      <c r="A118" s="2" t="s">
        <v>691</v>
      </c>
      <c r="B118" s="2" t="s">
        <v>391</v>
      </c>
      <c r="C118" s="2" t="s">
        <v>280</v>
      </c>
      <c r="D118" s="2"/>
      <c r="E118" s="2" t="s">
        <v>645</v>
      </c>
      <c r="F118" s="2" t="s">
        <v>392</v>
      </c>
      <c r="G118" s="2" t="n">
        <v>70</v>
      </c>
      <c r="H118" s="2"/>
      <c r="I118" s="2" t="n">
        <v>14000</v>
      </c>
      <c r="J118" s="2"/>
      <c r="K118" s="2" t="s">
        <v>692</v>
      </c>
      <c r="L118" s="2"/>
    </row>
    <row r="119" customFormat="false" ht="15" hidden="false" customHeight="false" outlineLevel="0" collapsed="false">
      <c r="A119" s="2" t="s">
        <v>691</v>
      </c>
      <c r="B119" s="2" t="s">
        <v>391</v>
      </c>
      <c r="C119" s="2" t="s">
        <v>280</v>
      </c>
      <c r="D119" s="2"/>
      <c r="E119" s="2" t="s">
        <v>645</v>
      </c>
      <c r="F119" s="2" t="s">
        <v>393</v>
      </c>
      <c r="G119" s="2" t="n">
        <v>70</v>
      </c>
      <c r="H119" s="2"/>
      <c r="I119" s="2" t="n">
        <v>15000</v>
      </c>
      <c r="J119" s="2"/>
      <c r="K119" s="2" t="s">
        <v>693</v>
      </c>
      <c r="L119" s="2"/>
    </row>
    <row r="120" customFormat="false" ht="15" hidden="false" customHeight="false" outlineLevel="0" collapsed="false">
      <c r="A120" s="2" t="s">
        <v>691</v>
      </c>
      <c r="B120" s="2" t="s">
        <v>391</v>
      </c>
      <c r="C120" s="2" t="s">
        <v>280</v>
      </c>
      <c r="D120" s="2"/>
      <c r="E120" s="2" t="s">
        <v>645</v>
      </c>
      <c r="F120" s="2" t="s">
        <v>394</v>
      </c>
      <c r="G120" s="2" t="n">
        <v>40</v>
      </c>
      <c r="H120" s="2"/>
      <c r="I120" s="2" t="n">
        <v>7000</v>
      </c>
      <c r="J120" s="2"/>
      <c r="K120" s="2" t="s">
        <v>694</v>
      </c>
      <c r="L120" s="2"/>
    </row>
    <row r="121" customFormat="false" ht="15" hidden="false" customHeight="false" outlineLevel="0" collapsed="false">
      <c r="A121" s="2" t="s">
        <v>691</v>
      </c>
      <c r="B121" s="2" t="s">
        <v>391</v>
      </c>
      <c r="C121" s="2" t="s">
        <v>280</v>
      </c>
      <c r="D121" s="2"/>
      <c r="E121" s="2" t="s">
        <v>645</v>
      </c>
      <c r="F121" s="2" t="s">
        <v>395</v>
      </c>
      <c r="G121" s="2" t="n">
        <v>30</v>
      </c>
      <c r="H121" s="2"/>
      <c r="I121" s="2" t="n">
        <v>8500</v>
      </c>
      <c r="J121" s="2"/>
      <c r="K121" s="2"/>
      <c r="L121" s="2"/>
    </row>
    <row r="122" customFormat="false" ht="15" hidden="false" customHeight="false" outlineLevel="0" collapsed="false">
      <c r="A122" s="2" t="s">
        <v>695</v>
      </c>
      <c r="B122" s="2" t="s">
        <v>396</v>
      </c>
      <c r="C122" s="2" t="s">
        <v>280</v>
      </c>
      <c r="D122" s="2"/>
      <c r="E122" s="2" t="s">
        <v>645</v>
      </c>
      <c r="F122" s="2" t="s">
        <v>397</v>
      </c>
      <c r="G122" s="2" t="n">
        <v>50</v>
      </c>
      <c r="H122" s="2"/>
      <c r="I122" s="2" t="n">
        <v>14500</v>
      </c>
      <c r="J122" s="2"/>
      <c r="K122" s="2" t="s">
        <v>696</v>
      </c>
      <c r="L122" s="2"/>
    </row>
    <row r="123" customFormat="false" ht="15" hidden="false" customHeight="false" outlineLevel="0" collapsed="false">
      <c r="A123" s="2" t="s">
        <v>697</v>
      </c>
      <c r="B123" s="2" t="s">
        <v>397</v>
      </c>
      <c r="C123" s="2" t="s">
        <v>280</v>
      </c>
      <c r="D123" s="2"/>
      <c r="E123" s="2" t="s">
        <v>614</v>
      </c>
      <c r="F123" s="2" t="s">
        <v>397</v>
      </c>
      <c r="G123" s="2" t="n">
        <v>60</v>
      </c>
      <c r="H123" s="2" t="n">
        <v>60</v>
      </c>
      <c r="I123" s="2" t="n">
        <v>14500</v>
      </c>
      <c r="J123" s="2"/>
      <c r="K123" s="2" t="s">
        <v>696</v>
      </c>
      <c r="L123" s="2"/>
    </row>
    <row r="124" customFormat="false" ht="15" hidden="false" customHeight="false" outlineLevel="0" collapsed="false">
      <c r="A124" s="2" t="s">
        <v>698</v>
      </c>
      <c r="B124" s="2" t="s">
        <v>398</v>
      </c>
      <c r="C124" s="2" t="s">
        <v>280</v>
      </c>
      <c r="D124" s="2"/>
      <c r="E124" s="2" t="s">
        <v>614</v>
      </c>
      <c r="F124" s="2" t="s">
        <v>399</v>
      </c>
      <c r="G124" s="2" t="n">
        <v>60</v>
      </c>
      <c r="H124" s="2"/>
      <c r="I124" s="2" t="n">
        <v>9500</v>
      </c>
      <c r="J124" s="2"/>
      <c r="K124" s="2"/>
      <c r="L124" s="2"/>
    </row>
    <row r="125" customFormat="false" ht="15" hidden="false" customHeight="false" outlineLevel="0" collapsed="false">
      <c r="A125" s="2" t="s">
        <v>698</v>
      </c>
      <c r="B125" s="2" t="s">
        <v>398</v>
      </c>
      <c r="C125" s="2" t="s">
        <v>280</v>
      </c>
      <c r="D125" s="2"/>
      <c r="E125" s="2" t="s">
        <v>614</v>
      </c>
      <c r="F125" s="2" t="s">
        <v>400</v>
      </c>
      <c r="G125" s="2" t="n">
        <v>60</v>
      </c>
      <c r="H125" s="2"/>
      <c r="I125" s="2" t="n">
        <v>9500</v>
      </c>
      <c r="J125" s="2"/>
      <c r="K125" s="2"/>
      <c r="L125" s="2"/>
    </row>
    <row r="126" customFormat="false" ht="15" hidden="false" customHeight="false" outlineLevel="0" collapsed="false">
      <c r="A126" s="2" t="s">
        <v>698</v>
      </c>
      <c r="B126" s="2" t="s">
        <v>398</v>
      </c>
      <c r="C126" s="2" t="s">
        <v>280</v>
      </c>
      <c r="D126" s="2"/>
      <c r="E126" s="2" t="s">
        <v>614</v>
      </c>
      <c r="F126" s="2" t="s">
        <v>401</v>
      </c>
      <c r="G126" s="2" t="n">
        <v>30</v>
      </c>
      <c r="H126" s="2"/>
      <c r="I126" s="2" t="n">
        <v>6000</v>
      </c>
      <c r="J126" s="2"/>
      <c r="K126" s="2"/>
      <c r="L126" s="2"/>
    </row>
    <row r="127" customFormat="false" ht="15" hidden="false" customHeight="false" outlineLevel="0" collapsed="false">
      <c r="A127" s="2" t="s">
        <v>698</v>
      </c>
      <c r="B127" s="2" t="s">
        <v>398</v>
      </c>
      <c r="C127" s="2" t="s">
        <v>280</v>
      </c>
      <c r="D127" s="2"/>
      <c r="E127" s="2" t="s">
        <v>614</v>
      </c>
      <c r="F127" s="2" t="s">
        <v>402</v>
      </c>
      <c r="G127" s="2" t="n">
        <v>60</v>
      </c>
      <c r="H127" s="2"/>
      <c r="I127" s="2" t="n">
        <v>9500</v>
      </c>
      <c r="J127" s="2"/>
      <c r="K127" s="2"/>
      <c r="L127" s="2"/>
    </row>
    <row r="128" customFormat="false" ht="15" hidden="false" customHeight="false" outlineLevel="0" collapsed="false">
      <c r="A128" s="2" t="s">
        <v>698</v>
      </c>
      <c r="B128" s="2" t="s">
        <v>398</v>
      </c>
      <c r="C128" s="2" t="s">
        <v>280</v>
      </c>
      <c r="D128" s="2"/>
      <c r="E128" s="2" t="s">
        <v>614</v>
      </c>
      <c r="F128" s="2" t="s">
        <v>403</v>
      </c>
      <c r="G128" s="2" t="n">
        <v>60</v>
      </c>
      <c r="H128" s="2"/>
      <c r="I128" s="2" t="n">
        <v>10500</v>
      </c>
      <c r="J128" s="2"/>
      <c r="K128" s="2"/>
      <c r="L128" s="2"/>
    </row>
    <row r="129" customFormat="false" ht="15" hidden="false" customHeight="false" outlineLevel="0" collapsed="false">
      <c r="A129" s="2" t="s">
        <v>698</v>
      </c>
      <c r="B129" s="2" t="s">
        <v>398</v>
      </c>
      <c r="C129" s="2" t="s">
        <v>280</v>
      </c>
      <c r="D129" s="2"/>
      <c r="E129" s="2" t="s">
        <v>614</v>
      </c>
      <c r="F129" s="2" t="s">
        <v>404</v>
      </c>
      <c r="G129" s="2" t="n">
        <v>60</v>
      </c>
      <c r="H129" s="2"/>
      <c r="I129" s="2" t="n">
        <v>9500</v>
      </c>
      <c r="J129" s="2"/>
      <c r="K129" s="2"/>
      <c r="L129" s="2"/>
    </row>
    <row r="130" customFormat="false" ht="15" hidden="false" customHeight="false" outlineLevel="0" collapsed="false">
      <c r="A130" s="2" t="s">
        <v>698</v>
      </c>
      <c r="B130" s="2" t="s">
        <v>398</v>
      </c>
      <c r="C130" s="2" t="s">
        <v>280</v>
      </c>
      <c r="D130" s="2"/>
      <c r="E130" s="2" t="s">
        <v>614</v>
      </c>
      <c r="F130" s="2" t="s">
        <v>405</v>
      </c>
      <c r="G130" s="2" t="n">
        <v>60</v>
      </c>
      <c r="H130" s="2"/>
      <c r="I130" s="2" t="n">
        <v>9500</v>
      </c>
      <c r="J130" s="2"/>
      <c r="K130" s="2"/>
      <c r="L130" s="2"/>
    </row>
    <row r="131" customFormat="false" ht="15" hidden="false" customHeight="false" outlineLevel="0" collapsed="false">
      <c r="A131" s="2" t="s">
        <v>699</v>
      </c>
      <c r="B131" s="2" t="s">
        <v>406</v>
      </c>
      <c r="C131" s="2" t="s">
        <v>280</v>
      </c>
      <c r="D131" s="2"/>
      <c r="E131" s="2" t="s">
        <v>614</v>
      </c>
      <c r="F131" s="2" t="s">
        <v>407</v>
      </c>
      <c r="G131" s="2" t="n">
        <v>60</v>
      </c>
      <c r="H131" s="2" t="n">
        <v>60</v>
      </c>
      <c r="I131" s="2" t="n">
        <v>9500</v>
      </c>
      <c r="J131" s="2"/>
      <c r="K131" s="2" t="s">
        <v>700</v>
      </c>
      <c r="L131" s="2"/>
    </row>
    <row r="132" customFormat="false" ht="15" hidden="false" customHeight="false" outlineLevel="0" collapsed="false">
      <c r="A132" s="2" t="s">
        <v>699</v>
      </c>
      <c r="B132" s="2" t="s">
        <v>406</v>
      </c>
      <c r="C132" s="2" t="s">
        <v>280</v>
      </c>
      <c r="D132" s="2"/>
      <c r="E132" s="2" t="s">
        <v>614</v>
      </c>
      <c r="F132" s="2" t="s">
        <v>408</v>
      </c>
      <c r="G132" s="2" t="n">
        <v>60</v>
      </c>
      <c r="H132" s="2" t="n">
        <v>60</v>
      </c>
      <c r="I132" s="2" t="n">
        <v>11500</v>
      </c>
      <c r="J132" s="2"/>
      <c r="K132" s="2" t="s">
        <v>701</v>
      </c>
      <c r="L132" s="2"/>
    </row>
    <row r="133" customFormat="false" ht="15" hidden="false" customHeight="false" outlineLevel="0" collapsed="false">
      <c r="A133" s="2" t="s">
        <v>699</v>
      </c>
      <c r="B133" s="2" t="s">
        <v>406</v>
      </c>
      <c r="C133" s="2" t="s">
        <v>280</v>
      </c>
      <c r="D133" s="2"/>
      <c r="E133" s="2" t="s">
        <v>614</v>
      </c>
      <c r="F133" s="2" t="s">
        <v>409</v>
      </c>
      <c r="G133" s="2" t="n">
        <v>60</v>
      </c>
      <c r="H133" s="2" t="n">
        <v>60</v>
      </c>
      <c r="I133" s="2" t="n">
        <v>14500</v>
      </c>
      <c r="J133" s="2"/>
      <c r="K133" s="2" t="s">
        <v>702</v>
      </c>
      <c r="L133" s="2"/>
    </row>
    <row r="134" customFormat="false" ht="15" hidden="false" customHeight="false" outlineLevel="0" collapsed="false">
      <c r="A134" s="2" t="s">
        <v>703</v>
      </c>
      <c r="B134" s="2" t="s">
        <v>410</v>
      </c>
      <c r="C134" s="2" t="s">
        <v>280</v>
      </c>
      <c r="D134" s="2"/>
      <c r="E134" s="2" t="s">
        <v>614</v>
      </c>
      <c r="F134" s="2" t="s">
        <v>411</v>
      </c>
      <c r="G134" s="2" t="n">
        <v>40</v>
      </c>
      <c r="H134" s="2" t="n">
        <v>30</v>
      </c>
      <c r="I134" s="2" t="n">
        <v>7500</v>
      </c>
      <c r="J134" s="2"/>
      <c r="K134" s="2" t="s">
        <v>684</v>
      </c>
      <c r="L134" s="2"/>
    </row>
    <row r="135" customFormat="false" ht="15" hidden="false" customHeight="false" outlineLevel="0" collapsed="false">
      <c r="A135" s="2" t="s">
        <v>703</v>
      </c>
      <c r="B135" s="2" t="s">
        <v>410</v>
      </c>
      <c r="C135" s="2" t="s">
        <v>280</v>
      </c>
      <c r="D135" s="2"/>
      <c r="E135" s="2" t="s">
        <v>614</v>
      </c>
      <c r="F135" s="2" t="s">
        <v>412</v>
      </c>
      <c r="G135" s="2" t="n">
        <v>50</v>
      </c>
      <c r="H135" s="2" t="n">
        <v>35</v>
      </c>
      <c r="I135" s="2" t="n">
        <v>10500</v>
      </c>
      <c r="J135" s="2"/>
      <c r="K135" s="2" t="s">
        <v>686</v>
      </c>
      <c r="L135" s="2"/>
    </row>
    <row r="136" customFormat="false" ht="15" hidden="false" customHeight="false" outlineLevel="0" collapsed="false">
      <c r="A136" s="2" t="s">
        <v>703</v>
      </c>
      <c r="B136" s="2" t="s">
        <v>410</v>
      </c>
      <c r="C136" s="2" t="s">
        <v>280</v>
      </c>
      <c r="D136" s="2"/>
      <c r="E136" s="2" t="s">
        <v>614</v>
      </c>
      <c r="F136" s="2" t="s">
        <v>413</v>
      </c>
      <c r="G136" s="2" t="n">
        <v>70</v>
      </c>
      <c r="H136" s="2" t="n">
        <v>60</v>
      </c>
      <c r="I136" s="2" t="n">
        <v>12000</v>
      </c>
      <c r="J136" s="2"/>
      <c r="K136" s="2" t="s">
        <v>688</v>
      </c>
      <c r="L136" s="2"/>
    </row>
    <row r="137" customFormat="false" ht="15" hidden="false" customHeight="false" outlineLevel="0" collapsed="false">
      <c r="A137" s="2" t="s">
        <v>704</v>
      </c>
      <c r="B137" s="2" t="s">
        <v>414</v>
      </c>
      <c r="C137" s="2" t="s">
        <v>280</v>
      </c>
      <c r="D137" s="2"/>
      <c r="E137" s="2" t="s">
        <v>614</v>
      </c>
      <c r="F137" s="2" t="s">
        <v>415</v>
      </c>
      <c r="G137" s="2" t="n">
        <v>60</v>
      </c>
      <c r="H137" s="2" t="n">
        <v>60</v>
      </c>
      <c r="I137" s="2" t="n">
        <v>9500</v>
      </c>
      <c r="J137" s="2"/>
      <c r="K137" s="2"/>
      <c r="L137" s="2"/>
    </row>
    <row r="138" customFormat="false" ht="15" hidden="false" customHeight="false" outlineLevel="0" collapsed="false">
      <c r="A138" s="2" t="s">
        <v>704</v>
      </c>
      <c r="B138" s="2" t="s">
        <v>414</v>
      </c>
      <c r="C138" s="2" t="s">
        <v>280</v>
      </c>
      <c r="D138" s="2"/>
      <c r="E138" s="2" t="s">
        <v>614</v>
      </c>
      <c r="F138" s="2" t="s">
        <v>416</v>
      </c>
      <c r="G138" s="2" t="n">
        <v>70</v>
      </c>
      <c r="H138" s="2" t="n">
        <v>70</v>
      </c>
      <c r="I138" s="2" t="n">
        <v>14500</v>
      </c>
      <c r="J138" s="2"/>
      <c r="K138" s="2"/>
      <c r="L138" s="2"/>
    </row>
    <row r="139" customFormat="false" ht="15" hidden="false" customHeight="false" outlineLevel="0" collapsed="false">
      <c r="A139" s="2" t="s">
        <v>704</v>
      </c>
      <c r="B139" s="2" t="s">
        <v>414</v>
      </c>
      <c r="C139" s="2" t="s">
        <v>280</v>
      </c>
      <c r="D139" s="2"/>
      <c r="E139" s="2" t="s">
        <v>614</v>
      </c>
      <c r="F139" s="2" t="s">
        <v>417</v>
      </c>
      <c r="G139" s="2" t="n">
        <v>70</v>
      </c>
      <c r="H139" s="2" t="n">
        <v>70</v>
      </c>
      <c r="I139" s="2" t="n">
        <v>15500</v>
      </c>
      <c r="J139" s="2"/>
      <c r="K139" s="2"/>
      <c r="L139" s="2"/>
    </row>
    <row r="140" customFormat="false" ht="15" hidden="false" customHeight="false" outlineLevel="0" collapsed="false">
      <c r="A140" s="2" t="s">
        <v>704</v>
      </c>
      <c r="B140" s="2" t="s">
        <v>414</v>
      </c>
      <c r="C140" s="2" t="s">
        <v>280</v>
      </c>
      <c r="D140" s="2"/>
      <c r="E140" s="2" t="s">
        <v>614</v>
      </c>
      <c r="F140" s="2" t="s">
        <v>418</v>
      </c>
      <c r="G140" s="2" t="n">
        <v>70</v>
      </c>
      <c r="H140" s="2" t="n">
        <v>70</v>
      </c>
      <c r="I140" s="2" t="n">
        <v>17500</v>
      </c>
      <c r="J140" s="2"/>
      <c r="K140" s="2"/>
      <c r="L140" s="2"/>
    </row>
    <row r="141" customFormat="false" ht="15" hidden="false" customHeight="false" outlineLevel="0" collapsed="false">
      <c r="A141" s="2" t="s">
        <v>705</v>
      </c>
      <c r="B141" s="2" t="s">
        <v>419</v>
      </c>
      <c r="C141" s="2" t="s">
        <v>280</v>
      </c>
      <c r="D141" s="2"/>
      <c r="E141" s="2" t="s">
        <v>614</v>
      </c>
      <c r="F141" s="2" t="s">
        <v>420</v>
      </c>
      <c r="G141" s="2" t="n">
        <v>30</v>
      </c>
      <c r="H141" s="2" t="n">
        <v>30</v>
      </c>
      <c r="I141" s="2" t="n">
        <v>4500</v>
      </c>
      <c r="J141" s="2"/>
      <c r="K141" s="2"/>
      <c r="L141" s="2"/>
    </row>
    <row r="142" customFormat="false" ht="15" hidden="false" customHeight="false" outlineLevel="0" collapsed="false">
      <c r="A142" s="2" t="s">
        <v>706</v>
      </c>
      <c r="B142" s="2" t="s">
        <v>421</v>
      </c>
      <c r="C142" s="2" t="s">
        <v>280</v>
      </c>
      <c r="D142" s="2"/>
      <c r="E142" s="2" t="s">
        <v>614</v>
      </c>
      <c r="F142" s="2" t="s">
        <v>422</v>
      </c>
      <c r="G142" s="2" t="n">
        <v>30</v>
      </c>
      <c r="H142" s="2"/>
      <c r="I142" s="2" t="n">
        <v>4500</v>
      </c>
      <c r="J142" s="2"/>
      <c r="K142" s="2"/>
      <c r="L142" s="2"/>
    </row>
    <row r="143" customFormat="false" ht="15" hidden="false" customHeight="false" outlineLevel="0" collapsed="false">
      <c r="A143" s="2" t="s">
        <v>706</v>
      </c>
      <c r="B143" s="2" t="s">
        <v>421</v>
      </c>
      <c r="C143" s="2" t="s">
        <v>280</v>
      </c>
      <c r="D143" s="2"/>
      <c r="E143" s="2" t="s">
        <v>614</v>
      </c>
      <c r="F143" s="2" t="s">
        <v>423</v>
      </c>
      <c r="G143" s="2" t="n">
        <v>15</v>
      </c>
      <c r="H143" s="2"/>
      <c r="I143" s="2" t="n">
        <v>3500</v>
      </c>
      <c r="J143" s="2"/>
      <c r="K143" s="2"/>
      <c r="L143" s="2"/>
    </row>
    <row r="144" customFormat="false" ht="15" hidden="false" customHeight="false" outlineLevel="0" collapsed="false">
      <c r="A144" s="2" t="s">
        <v>706</v>
      </c>
      <c r="B144" s="2" t="s">
        <v>421</v>
      </c>
      <c r="C144" s="2" t="s">
        <v>280</v>
      </c>
      <c r="D144" s="2"/>
      <c r="E144" s="2" t="s">
        <v>614</v>
      </c>
      <c r="F144" s="2" t="s">
        <v>424</v>
      </c>
      <c r="G144" s="2" t="n">
        <v>30</v>
      </c>
      <c r="H144" s="2"/>
      <c r="I144" s="2" t="n">
        <v>5500</v>
      </c>
      <c r="J144" s="2"/>
      <c r="K144" s="2"/>
      <c r="L144" s="2"/>
    </row>
    <row r="145" customFormat="false" ht="15" hidden="false" customHeight="false" outlineLevel="0" collapsed="false">
      <c r="A145" s="2" t="s">
        <v>706</v>
      </c>
      <c r="B145" s="2" t="s">
        <v>421</v>
      </c>
      <c r="C145" s="2" t="s">
        <v>280</v>
      </c>
      <c r="D145" s="2"/>
      <c r="E145" s="2" t="s">
        <v>614</v>
      </c>
      <c r="F145" s="2" t="s">
        <v>425</v>
      </c>
      <c r="G145" s="2" t="n">
        <v>30</v>
      </c>
      <c r="H145" s="2"/>
      <c r="I145" s="2" t="n">
        <v>4500</v>
      </c>
      <c r="J145" s="2"/>
      <c r="K145" s="2"/>
      <c r="L145" s="2"/>
    </row>
    <row r="146" customFormat="false" ht="15" hidden="false" customHeight="false" outlineLevel="0" collapsed="false">
      <c r="A146" s="2" t="s">
        <v>707</v>
      </c>
      <c r="B146" s="2" t="s">
        <v>426</v>
      </c>
      <c r="C146" s="2" t="s">
        <v>280</v>
      </c>
      <c r="D146" s="2"/>
      <c r="E146" s="2" t="s">
        <v>614</v>
      </c>
      <c r="F146" s="2" t="s">
        <v>426</v>
      </c>
      <c r="G146" s="2" t="n">
        <v>30</v>
      </c>
      <c r="H146" s="2" t="n">
        <v>30</v>
      </c>
      <c r="I146" s="2" t="n">
        <v>8000</v>
      </c>
      <c r="J146" s="2"/>
      <c r="K146" s="2" t="s">
        <v>708</v>
      </c>
      <c r="L146" s="2"/>
    </row>
    <row r="147" customFormat="false" ht="15" hidden="false" customHeight="false" outlineLevel="0" collapsed="false">
      <c r="A147" s="2" t="s">
        <v>709</v>
      </c>
      <c r="B147" s="2" t="s">
        <v>427</v>
      </c>
      <c r="C147" s="2" t="s">
        <v>280</v>
      </c>
      <c r="D147" s="2"/>
      <c r="E147" s="2" t="s">
        <v>614</v>
      </c>
      <c r="F147" s="2" t="s">
        <v>427</v>
      </c>
      <c r="G147" s="2" t="n">
        <v>45</v>
      </c>
      <c r="H147" s="2" t="n">
        <v>45</v>
      </c>
      <c r="I147" s="2" t="n">
        <v>8500</v>
      </c>
      <c r="J147" s="2"/>
      <c r="K147" s="2" t="s">
        <v>710</v>
      </c>
      <c r="L147" s="2"/>
    </row>
    <row r="148" customFormat="false" ht="15" hidden="false" customHeight="false" outlineLevel="0" collapsed="false">
      <c r="A148" s="2" t="s">
        <v>709</v>
      </c>
      <c r="B148" s="2" t="s">
        <v>427</v>
      </c>
      <c r="C148" s="2" t="s">
        <v>280</v>
      </c>
      <c r="D148" s="2"/>
      <c r="E148" s="2" t="s">
        <v>614</v>
      </c>
      <c r="F148" s="2" t="s">
        <v>428</v>
      </c>
      <c r="G148" s="2" t="n">
        <v>60</v>
      </c>
      <c r="H148" s="2" t="n">
        <v>60</v>
      </c>
      <c r="I148" s="2" t="n">
        <v>14000</v>
      </c>
      <c r="J148" s="2"/>
      <c r="K148" s="2" t="s">
        <v>711</v>
      </c>
      <c r="L148" s="2"/>
    </row>
    <row r="149" customFormat="false" ht="15" hidden="false" customHeight="false" outlineLevel="0" collapsed="false">
      <c r="A149" s="2" t="s">
        <v>709</v>
      </c>
      <c r="B149" s="2" t="s">
        <v>427</v>
      </c>
      <c r="C149" s="2" t="s">
        <v>280</v>
      </c>
      <c r="D149" s="2"/>
      <c r="E149" s="2" t="s">
        <v>614</v>
      </c>
      <c r="F149" s="2" t="s">
        <v>429</v>
      </c>
      <c r="G149" s="2" t="n">
        <v>60</v>
      </c>
      <c r="H149" s="2" t="n">
        <v>60</v>
      </c>
      <c r="I149" s="2" t="n">
        <v>15000</v>
      </c>
      <c r="J149" s="2"/>
      <c r="K149" s="2" t="s">
        <v>712</v>
      </c>
      <c r="L149" s="2"/>
    </row>
    <row r="150" customFormat="false" ht="15" hidden="false" customHeight="false" outlineLevel="0" collapsed="false">
      <c r="A150" s="2" t="s">
        <v>713</v>
      </c>
      <c r="B150" s="2" t="s">
        <v>430</v>
      </c>
      <c r="C150" s="2" t="s">
        <v>280</v>
      </c>
      <c r="D150" s="2"/>
      <c r="E150" s="2" t="s">
        <v>614</v>
      </c>
      <c r="F150" s="2" t="s">
        <v>431</v>
      </c>
      <c r="G150" s="2" t="n">
        <v>40</v>
      </c>
      <c r="H150" s="2"/>
      <c r="I150" s="2" t="n">
        <v>17500</v>
      </c>
      <c r="J150" s="2"/>
      <c r="K150" s="2"/>
      <c r="L150" s="2"/>
    </row>
    <row r="151" customFormat="false" ht="15" hidden="false" customHeight="false" outlineLevel="0" collapsed="false">
      <c r="A151" s="2" t="s">
        <v>713</v>
      </c>
      <c r="B151" s="2" t="s">
        <v>430</v>
      </c>
      <c r="C151" s="2" t="s">
        <v>280</v>
      </c>
      <c r="D151" s="2"/>
      <c r="E151" s="2" t="s">
        <v>614</v>
      </c>
      <c r="F151" s="2" t="s">
        <v>432</v>
      </c>
      <c r="G151" s="2" t="n">
        <v>40</v>
      </c>
      <c r="H151" s="2"/>
      <c r="I151" s="2" t="n">
        <v>20000</v>
      </c>
      <c r="J151" s="2"/>
      <c r="K151" s="2"/>
      <c r="L151" s="2"/>
    </row>
    <row r="152" customFormat="false" ht="15" hidden="false" customHeight="false" outlineLevel="0" collapsed="false">
      <c r="A152" s="2" t="s">
        <v>713</v>
      </c>
      <c r="B152" s="2" t="s">
        <v>430</v>
      </c>
      <c r="C152" s="2" t="s">
        <v>280</v>
      </c>
      <c r="D152" s="2"/>
      <c r="E152" s="2" t="s">
        <v>614</v>
      </c>
      <c r="F152" s="2" t="s">
        <v>433</v>
      </c>
      <c r="G152" s="2" t="n">
        <v>40</v>
      </c>
      <c r="H152" s="2"/>
      <c r="I152" s="2" t="n">
        <v>25000</v>
      </c>
      <c r="J152" s="2"/>
      <c r="K152" s="2"/>
      <c r="L152" s="2"/>
    </row>
    <row r="153" customFormat="false" ht="15" hidden="false" customHeight="false" outlineLevel="0" collapsed="false">
      <c r="A153" s="2" t="s">
        <v>713</v>
      </c>
      <c r="B153" s="2" t="s">
        <v>430</v>
      </c>
      <c r="C153" s="2" t="s">
        <v>280</v>
      </c>
      <c r="D153" s="2"/>
      <c r="E153" s="2" t="s">
        <v>614</v>
      </c>
      <c r="F153" s="2" t="s">
        <v>714</v>
      </c>
      <c r="G153" s="2" t="n">
        <v>40</v>
      </c>
      <c r="H153" s="2"/>
      <c r="I153" s="2" t="n">
        <v>19500</v>
      </c>
      <c r="J153" s="2"/>
      <c r="K153" s="2"/>
      <c r="L153" s="2"/>
    </row>
    <row r="154" customFormat="false" ht="15" hidden="false" customHeight="false" outlineLevel="0" collapsed="false">
      <c r="A154" s="2" t="s">
        <v>713</v>
      </c>
      <c r="B154" s="2" t="s">
        <v>430</v>
      </c>
      <c r="C154" s="2" t="s">
        <v>280</v>
      </c>
      <c r="D154" s="2"/>
      <c r="E154" s="2" t="s">
        <v>614</v>
      </c>
      <c r="F154" s="2" t="s">
        <v>715</v>
      </c>
      <c r="G154" s="2" t="n">
        <v>40</v>
      </c>
      <c r="H154" s="2"/>
      <c r="I154" s="2" t="n">
        <v>22000</v>
      </c>
      <c r="J154" s="2"/>
      <c r="K154" s="2"/>
      <c r="L154" s="2"/>
    </row>
    <row r="155" customFormat="false" ht="15" hidden="false" customHeight="false" outlineLevel="0" collapsed="false">
      <c r="A155" s="2" t="s">
        <v>713</v>
      </c>
      <c r="B155" s="2" t="s">
        <v>430</v>
      </c>
      <c r="C155" s="2" t="s">
        <v>280</v>
      </c>
      <c r="D155" s="2"/>
      <c r="E155" s="2" t="s">
        <v>614</v>
      </c>
      <c r="F155" s="2" t="s">
        <v>716</v>
      </c>
      <c r="G155" s="2" t="n">
        <v>40</v>
      </c>
      <c r="H155" s="2"/>
      <c r="I155" s="2" t="n">
        <v>27000</v>
      </c>
      <c r="J155" s="2"/>
      <c r="K155" s="2"/>
      <c r="L155" s="2"/>
    </row>
    <row r="156" customFormat="false" ht="15" hidden="false" customHeight="false" outlineLevel="0" collapsed="false">
      <c r="A156" s="2" t="s">
        <v>717</v>
      </c>
      <c r="B156" s="2" t="s">
        <v>437</v>
      </c>
      <c r="C156" s="2" t="s">
        <v>280</v>
      </c>
      <c r="D156" s="2"/>
      <c r="E156" s="2" t="s">
        <v>614</v>
      </c>
      <c r="F156" s="2" t="s">
        <v>438</v>
      </c>
      <c r="G156" s="2" t="n">
        <v>40</v>
      </c>
      <c r="H156" s="2"/>
      <c r="I156" s="2" t="n">
        <v>18000</v>
      </c>
      <c r="J156" s="2"/>
      <c r="K156" s="2"/>
      <c r="L156" s="2"/>
    </row>
    <row r="157" customFormat="false" ht="15" hidden="false" customHeight="false" outlineLevel="0" collapsed="false">
      <c r="A157" s="2" t="s">
        <v>717</v>
      </c>
      <c r="B157" s="2" t="s">
        <v>437</v>
      </c>
      <c r="C157" s="2" t="s">
        <v>280</v>
      </c>
      <c r="D157" s="2"/>
      <c r="E157" s="2" t="s">
        <v>614</v>
      </c>
      <c r="F157" s="2" t="s">
        <v>439</v>
      </c>
      <c r="G157" s="2" t="n">
        <v>40</v>
      </c>
      <c r="H157" s="2"/>
      <c r="I157" s="2" t="n">
        <v>20000</v>
      </c>
      <c r="J157" s="2"/>
      <c r="K157" s="2"/>
      <c r="L157" s="2"/>
    </row>
    <row r="158" customFormat="false" ht="15" hidden="false" customHeight="false" outlineLevel="0" collapsed="false">
      <c r="A158" s="2" t="s">
        <v>717</v>
      </c>
      <c r="B158" s="2" t="s">
        <v>437</v>
      </c>
      <c r="C158" s="2" t="s">
        <v>280</v>
      </c>
      <c r="D158" s="2"/>
      <c r="E158" s="2" t="s">
        <v>614</v>
      </c>
      <c r="F158" s="2" t="s">
        <v>440</v>
      </c>
      <c r="G158" s="2" t="n">
        <v>40</v>
      </c>
      <c r="H158" s="2"/>
      <c r="I158" s="2" t="n">
        <v>23000</v>
      </c>
      <c r="J158" s="2"/>
      <c r="K158" s="2"/>
      <c r="L158" s="2"/>
    </row>
    <row r="159" customFormat="false" ht="15" hidden="false" customHeight="false" outlineLevel="0" collapsed="false">
      <c r="A159" s="2" t="s">
        <v>717</v>
      </c>
      <c r="B159" s="2" t="s">
        <v>437</v>
      </c>
      <c r="C159" s="2" t="s">
        <v>280</v>
      </c>
      <c r="D159" s="2"/>
      <c r="E159" s="2" t="s">
        <v>614</v>
      </c>
      <c r="F159" s="2" t="s">
        <v>441</v>
      </c>
      <c r="G159" s="2" t="n">
        <v>40</v>
      </c>
      <c r="H159" s="2"/>
      <c r="I159" s="2" t="n">
        <v>28000</v>
      </c>
      <c r="J159" s="2"/>
      <c r="K159" s="2"/>
      <c r="L159" s="2"/>
    </row>
    <row r="160" customFormat="false" ht="15" hidden="false" customHeight="false" outlineLevel="0" collapsed="false">
      <c r="A160" s="2" t="s">
        <v>718</v>
      </c>
      <c r="B160" s="2" t="s">
        <v>442</v>
      </c>
      <c r="C160" s="2" t="s">
        <v>280</v>
      </c>
      <c r="D160" s="2"/>
      <c r="E160" s="2" t="s">
        <v>614</v>
      </c>
      <c r="F160" s="2" t="s">
        <v>443</v>
      </c>
      <c r="G160" s="2" t="n">
        <v>45</v>
      </c>
      <c r="H160" s="2"/>
      <c r="I160" s="2" t="n">
        <v>17500</v>
      </c>
      <c r="J160" s="2"/>
      <c r="K160" s="2"/>
      <c r="L160" s="2"/>
    </row>
    <row r="161" customFormat="false" ht="15" hidden="false" customHeight="false" outlineLevel="0" collapsed="false">
      <c r="A161" s="2" t="s">
        <v>718</v>
      </c>
      <c r="B161" s="2" t="s">
        <v>442</v>
      </c>
      <c r="C161" s="2" t="s">
        <v>280</v>
      </c>
      <c r="D161" s="2"/>
      <c r="E161" s="2" t="s">
        <v>614</v>
      </c>
      <c r="F161" s="2" t="s">
        <v>444</v>
      </c>
      <c r="G161" s="2" t="n">
        <v>45</v>
      </c>
      <c r="H161" s="2"/>
      <c r="I161" s="2" t="n">
        <v>18500</v>
      </c>
      <c r="J161" s="2"/>
      <c r="K161" s="2"/>
      <c r="L161" s="2"/>
    </row>
    <row r="162" customFormat="false" ht="15" hidden="false" customHeight="false" outlineLevel="0" collapsed="false">
      <c r="A162" s="2" t="s">
        <v>718</v>
      </c>
      <c r="B162" s="2" t="s">
        <v>442</v>
      </c>
      <c r="C162" s="2" t="s">
        <v>280</v>
      </c>
      <c r="D162" s="2"/>
      <c r="E162" s="2" t="s">
        <v>614</v>
      </c>
      <c r="F162" s="2" t="s">
        <v>445</v>
      </c>
      <c r="G162" s="2" t="n">
        <v>45</v>
      </c>
      <c r="H162" s="2"/>
      <c r="I162" s="2" t="n">
        <v>19000</v>
      </c>
      <c r="J162" s="2"/>
      <c r="K162" s="2"/>
      <c r="L162" s="2"/>
    </row>
    <row r="163" customFormat="false" ht="15" hidden="false" customHeight="false" outlineLevel="0" collapsed="false">
      <c r="A163" s="2" t="s">
        <v>718</v>
      </c>
      <c r="B163" s="2" t="s">
        <v>442</v>
      </c>
      <c r="C163" s="2" t="s">
        <v>280</v>
      </c>
      <c r="D163" s="2"/>
      <c r="E163" s="2" t="s">
        <v>614</v>
      </c>
      <c r="F163" s="2" t="s">
        <v>446</v>
      </c>
      <c r="G163" s="2" t="n">
        <v>45</v>
      </c>
      <c r="H163" s="2"/>
      <c r="I163" s="2" t="n">
        <v>19000</v>
      </c>
      <c r="J163" s="2"/>
      <c r="K163" s="2"/>
      <c r="L163" s="2"/>
    </row>
    <row r="164" customFormat="false" ht="15" hidden="false" customHeight="false" outlineLevel="0" collapsed="false">
      <c r="A164" s="2" t="s">
        <v>718</v>
      </c>
      <c r="B164" s="2" t="s">
        <v>442</v>
      </c>
      <c r="C164" s="2" t="s">
        <v>280</v>
      </c>
      <c r="D164" s="2"/>
      <c r="E164" s="2" t="s">
        <v>614</v>
      </c>
      <c r="F164" s="2" t="s">
        <v>447</v>
      </c>
      <c r="G164" s="2" t="n">
        <v>45</v>
      </c>
      <c r="H164" s="2"/>
      <c r="I164" s="2" t="n">
        <v>19000</v>
      </c>
      <c r="J164" s="2"/>
      <c r="K164" s="2"/>
      <c r="L164" s="2"/>
    </row>
    <row r="165" customFormat="false" ht="15" hidden="false" customHeight="false" outlineLevel="0" collapsed="false">
      <c r="A165" s="2" t="s">
        <v>719</v>
      </c>
      <c r="B165" s="2" t="s">
        <v>448</v>
      </c>
      <c r="C165" s="2" t="s">
        <v>280</v>
      </c>
      <c r="D165" s="2"/>
      <c r="E165" s="2" t="s">
        <v>614</v>
      </c>
      <c r="F165" s="2" t="s">
        <v>449</v>
      </c>
      <c r="G165" s="2" t="n">
        <v>40</v>
      </c>
      <c r="H165" s="2"/>
      <c r="I165" s="2" t="n">
        <v>17000</v>
      </c>
      <c r="J165" s="2"/>
      <c r="K165" s="2" t="s">
        <v>720</v>
      </c>
      <c r="L165" s="2"/>
    </row>
    <row r="166" customFormat="false" ht="15" hidden="false" customHeight="false" outlineLevel="0" collapsed="false">
      <c r="A166" s="2" t="s">
        <v>719</v>
      </c>
      <c r="B166" s="2" t="s">
        <v>448</v>
      </c>
      <c r="C166" s="2" t="s">
        <v>280</v>
      </c>
      <c r="D166" s="2"/>
      <c r="E166" s="2" t="s">
        <v>614</v>
      </c>
      <c r="F166" s="2" t="s">
        <v>450</v>
      </c>
      <c r="G166" s="2" t="n">
        <v>40</v>
      </c>
      <c r="H166" s="2"/>
      <c r="I166" s="2" t="n">
        <v>17000</v>
      </c>
      <c r="J166" s="2"/>
      <c r="K166" s="2" t="s">
        <v>720</v>
      </c>
      <c r="L166" s="2"/>
    </row>
    <row r="167" customFormat="false" ht="15" hidden="false" customHeight="false" outlineLevel="0" collapsed="false">
      <c r="A167" s="2" t="s">
        <v>719</v>
      </c>
      <c r="B167" s="2" t="s">
        <v>448</v>
      </c>
      <c r="C167" s="2" t="s">
        <v>280</v>
      </c>
      <c r="D167" s="2"/>
      <c r="E167" s="2" t="s">
        <v>614</v>
      </c>
      <c r="F167" s="2" t="s">
        <v>451</v>
      </c>
      <c r="G167" s="2" t="n">
        <v>40</v>
      </c>
      <c r="H167" s="2"/>
      <c r="I167" s="2" t="n">
        <v>17000</v>
      </c>
      <c r="J167" s="2"/>
      <c r="K167" s="2" t="s">
        <v>720</v>
      </c>
      <c r="L167" s="2"/>
    </row>
    <row r="168" customFormat="false" ht="15" hidden="false" customHeight="false" outlineLevel="0" collapsed="false">
      <c r="A168" s="2" t="s">
        <v>719</v>
      </c>
      <c r="B168" s="2" t="s">
        <v>448</v>
      </c>
      <c r="C168" s="2" t="s">
        <v>280</v>
      </c>
      <c r="D168" s="2"/>
      <c r="E168" s="2" t="s">
        <v>614</v>
      </c>
      <c r="F168" s="2" t="s">
        <v>452</v>
      </c>
      <c r="G168" s="2" t="n">
        <v>50</v>
      </c>
      <c r="H168" s="2"/>
      <c r="I168" s="2" t="n">
        <v>20000</v>
      </c>
      <c r="J168" s="2"/>
      <c r="K168" s="2" t="s">
        <v>721</v>
      </c>
      <c r="L168" s="2"/>
    </row>
    <row r="169" customFormat="false" ht="15" hidden="false" customHeight="false" outlineLevel="0" collapsed="false">
      <c r="A169" s="2" t="s">
        <v>722</v>
      </c>
      <c r="B169" s="2" t="s">
        <v>453</v>
      </c>
      <c r="C169" s="2" t="s">
        <v>280</v>
      </c>
      <c r="D169" s="2"/>
      <c r="E169" s="2" t="s">
        <v>614</v>
      </c>
      <c r="F169" s="2" t="s">
        <v>454</v>
      </c>
      <c r="G169" s="2" t="n">
        <v>30</v>
      </c>
      <c r="H169" s="2" t="n">
        <v>30</v>
      </c>
      <c r="I169" s="2" t="n">
        <v>15000</v>
      </c>
      <c r="J169" s="2"/>
      <c r="K169" s="2" t="s">
        <v>638</v>
      </c>
      <c r="L169" s="2"/>
    </row>
    <row r="170" customFormat="false" ht="15" hidden="false" customHeight="false" outlineLevel="0" collapsed="false">
      <c r="A170" s="2" t="s">
        <v>723</v>
      </c>
      <c r="B170" s="2" t="s">
        <v>455</v>
      </c>
      <c r="C170" s="2" t="s">
        <v>280</v>
      </c>
      <c r="D170" s="2"/>
      <c r="E170" s="2" t="s">
        <v>614</v>
      </c>
      <c r="F170" s="2" t="s">
        <v>456</v>
      </c>
      <c r="G170" s="2" t="n">
        <v>30</v>
      </c>
      <c r="H170" s="2" t="n">
        <v>30</v>
      </c>
      <c r="I170" s="2" t="n">
        <v>15000</v>
      </c>
      <c r="J170" s="2"/>
      <c r="K170" s="2" t="s">
        <v>638</v>
      </c>
      <c r="L170" s="2"/>
    </row>
    <row r="171" customFormat="false" ht="15" hidden="false" customHeight="false" outlineLevel="0" collapsed="false">
      <c r="A171" s="2" t="s">
        <v>724</v>
      </c>
      <c r="B171" s="2" t="s">
        <v>430</v>
      </c>
      <c r="C171" s="2" t="s">
        <v>280</v>
      </c>
      <c r="D171" s="2"/>
      <c r="E171" s="2" t="s">
        <v>614</v>
      </c>
      <c r="F171" s="2" t="s">
        <v>431</v>
      </c>
      <c r="G171" s="2" t="n">
        <v>40</v>
      </c>
      <c r="H171" s="2"/>
      <c r="I171" s="2" t="n">
        <v>17500</v>
      </c>
      <c r="J171" s="2"/>
      <c r="K171" s="2"/>
      <c r="L171" s="2"/>
    </row>
    <row r="172" customFormat="false" ht="15" hidden="false" customHeight="false" outlineLevel="0" collapsed="false">
      <c r="A172" s="2" t="s">
        <v>724</v>
      </c>
      <c r="B172" s="2" t="s">
        <v>430</v>
      </c>
      <c r="C172" s="2" t="s">
        <v>280</v>
      </c>
      <c r="D172" s="2"/>
      <c r="E172" s="2" t="s">
        <v>614</v>
      </c>
      <c r="F172" s="2" t="s">
        <v>432</v>
      </c>
      <c r="G172" s="2" t="n">
        <v>40</v>
      </c>
      <c r="H172" s="2"/>
      <c r="I172" s="2" t="n">
        <v>20000</v>
      </c>
      <c r="J172" s="2"/>
      <c r="K172" s="2"/>
      <c r="L172" s="2"/>
    </row>
    <row r="173" customFormat="false" ht="15" hidden="false" customHeight="false" outlineLevel="0" collapsed="false">
      <c r="A173" s="2" t="s">
        <v>724</v>
      </c>
      <c r="B173" s="2" t="s">
        <v>430</v>
      </c>
      <c r="C173" s="2" t="s">
        <v>280</v>
      </c>
      <c r="D173" s="2"/>
      <c r="E173" s="2" t="s">
        <v>614</v>
      </c>
      <c r="F173" s="2" t="s">
        <v>433</v>
      </c>
      <c r="G173" s="2" t="n">
        <v>40</v>
      </c>
      <c r="H173" s="2"/>
      <c r="I173" s="2" t="n">
        <v>25000</v>
      </c>
      <c r="J173" s="2"/>
      <c r="K173" s="2"/>
      <c r="L173" s="2"/>
    </row>
    <row r="174" customFormat="false" ht="15" hidden="false" customHeight="false" outlineLevel="0" collapsed="false">
      <c r="A174" s="2" t="s">
        <v>724</v>
      </c>
      <c r="B174" s="2" t="s">
        <v>430</v>
      </c>
      <c r="C174" s="2" t="s">
        <v>280</v>
      </c>
      <c r="D174" s="2"/>
      <c r="E174" s="2" t="s">
        <v>614</v>
      </c>
      <c r="F174" s="2" t="s">
        <v>714</v>
      </c>
      <c r="G174" s="2" t="n">
        <v>40</v>
      </c>
      <c r="H174" s="2"/>
      <c r="I174" s="2" t="n">
        <v>19500</v>
      </c>
      <c r="J174" s="2"/>
      <c r="K174" s="2"/>
      <c r="L174" s="2"/>
    </row>
    <row r="175" customFormat="false" ht="15" hidden="false" customHeight="false" outlineLevel="0" collapsed="false">
      <c r="A175" s="2" t="s">
        <v>724</v>
      </c>
      <c r="B175" s="2" t="s">
        <v>430</v>
      </c>
      <c r="C175" s="2" t="s">
        <v>280</v>
      </c>
      <c r="D175" s="2"/>
      <c r="E175" s="2" t="s">
        <v>614</v>
      </c>
      <c r="F175" s="2" t="s">
        <v>715</v>
      </c>
      <c r="G175" s="2" t="n">
        <v>40</v>
      </c>
      <c r="H175" s="2"/>
      <c r="I175" s="2" t="n">
        <v>22000</v>
      </c>
      <c r="J175" s="2"/>
      <c r="K175" s="2"/>
      <c r="L175" s="2"/>
    </row>
    <row r="176" customFormat="false" ht="15" hidden="false" customHeight="false" outlineLevel="0" collapsed="false">
      <c r="A176" s="2" t="s">
        <v>724</v>
      </c>
      <c r="B176" s="2" t="s">
        <v>430</v>
      </c>
      <c r="C176" s="2" t="s">
        <v>280</v>
      </c>
      <c r="D176" s="2"/>
      <c r="E176" s="2" t="s">
        <v>614</v>
      </c>
      <c r="F176" s="2" t="s">
        <v>716</v>
      </c>
      <c r="G176" s="2" t="n">
        <v>40</v>
      </c>
      <c r="H176" s="2"/>
      <c r="I176" s="2" t="n">
        <v>27000</v>
      </c>
      <c r="J176" s="2"/>
      <c r="K176" s="2"/>
      <c r="L176" s="2"/>
    </row>
    <row r="179" customFormat="false" ht="15" hidden="false" customHeight="false" outlineLevel="0" collapsed="false">
      <c r="A179" s="20" t="s">
        <v>725</v>
      </c>
    </row>
    <row r="180" customFormat="false" ht="15" hidden="false" customHeight="false" outlineLevel="0" collapsed="false">
      <c r="A180" s="20" t="s">
        <v>726</v>
      </c>
      <c r="B180" s="20" t="s">
        <v>727</v>
      </c>
    </row>
    <row r="181" customFormat="false" ht="15" hidden="false" customHeight="false" outlineLevel="0" collapsed="false">
      <c r="A181" s="2" t="s">
        <v>728</v>
      </c>
      <c r="B181" s="2" t="n">
        <v>131</v>
      </c>
    </row>
    <row r="182" customFormat="false" ht="15" hidden="false" customHeight="false" outlineLevel="0" collapsed="false">
      <c r="A182" s="2" t="s">
        <v>485</v>
      </c>
      <c r="B182" s="2" t="n">
        <v>38</v>
      </c>
    </row>
    <row r="183" customFormat="false" ht="15" hidden="false" customHeight="false" outlineLevel="0" collapsed="false">
      <c r="A183" s="2" t="s">
        <v>729</v>
      </c>
      <c r="B183" s="2" t="n">
        <v>14</v>
      </c>
    </row>
    <row r="184" customFormat="false" ht="15" hidden="false" customHeight="false" outlineLevel="0" collapsed="false">
      <c r="A184" s="2" t="s">
        <v>730</v>
      </c>
      <c r="B184" s="2" t="n">
        <v>10</v>
      </c>
    </row>
    <row r="185" customFormat="false" ht="15" hidden="false" customHeight="false" outlineLevel="0" collapsed="false">
      <c r="A185" s="2" t="s">
        <v>731</v>
      </c>
      <c r="B185" s="2" t="n">
        <v>9</v>
      </c>
    </row>
    <row r="186" customFormat="false" ht="15" hidden="false" customHeight="false" outlineLevel="0" collapsed="false">
      <c r="A186" s="2" t="s">
        <v>732</v>
      </c>
      <c r="B186" s="2" t="n">
        <v>6</v>
      </c>
    </row>
    <row r="187" customFormat="false" ht="15" hidden="false" customHeight="false" outlineLevel="0" collapsed="false">
      <c r="A187" s="2" t="s">
        <v>733</v>
      </c>
      <c r="B187" s="2" t="n">
        <v>4</v>
      </c>
    </row>
    <row r="188" customFormat="false" ht="15" hidden="false" customHeight="false" outlineLevel="0" collapsed="false">
      <c r="A188" s="2" t="s">
        <v>734</v>
      </c>
      <c r="B188" s="2" t="n">
        <v>3</v>
      </c>
    </row>
    <row r="189" customFormat="false" ht="15" hidden="false" customHeight="false" outlineLevel="0" collapsed="false">
      <c r="A189" s="2" t="s">
        <v>735</v>
      </c>
      <c r="B189" s="2" t="n">
        <v>2</v>
      </c>
    </row>
    <row r="190" customFormat="false" ht="15" hidden="false" customHeight="false" outlineLevel="0" collapsed="false">
      <c r="A190" s="2" t="s">
        <v>736</v>
      </c>
      <c r="B190" s="2" t="n">
        <v>2</v>
      </c>
    </row>
    <row r="191" customFormat="false" ht="15" hidden="false" customHeight="false" outlineLevel="0" collapsed="false">
      <c r="A191" s="2" t="s">
        <v>737</v>
      </c>
      <c r="B191" s="2" t="n">
        <v>1</v>
      </c>
    </row>
    <row r="192" customFormat="false" ht="15" hidden="false" customHeight="false" outlineLevel="0" collapsed="false">
      <c r="A192" s="2" t="s">
        <v>738</v>
      </c>
      <c r="B192" s="2" t="n">
        <v>1</v>
      </c>
    </row>
    <row r="193" customFormat="false" ht="15" hidden="false" customHeight="false" outlineLevel="0" collapsed="false">
      <c r="A193" s="2" t="s">
        <v>200</v>
      </c>
      <c r="B193" s="2" t="n">
        <v>1</v>
      </c>
    </row>
    <row r="194" customFormat="false" ht="15" hidden="false" customHeight="false" outlineLevel="0" collapsed="false">
      <c r="A194" s="2" t="s">
        <v>739</v>
      </c>
      <c r="B194" s="2" t="n">
        <v>1</v>
      </c>
    </row>
    <row r="195" customFormat="false" ht="15" hidden="false" customHeight="false" outlineLevel="0" collapsed="false">
      <c r="A195" s="2" t="s">
        <v>740</v>
      </c>
      <c r="B195" s="2" t="n">
        <v>1</v>
      </c>
    </row>
    <row r="196" customFormat="false" ht="15" hidden="false" customHeight="false" outlineLevel="0" collapsed="false">
      <c r="A196" s="2" t="s">
        <v>741</v>
      </c>
      <c r="B196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2026-08-28T15:12:48Z</dcterms:created>
  <dc:creator>openpyxl</dc:creator>
  <dc:description/>
  <dc:language>en-US</dc:language>
  <cp:lastModifiedBy/>
  <dcterms:modified xsi:type="dcterms:W3CDTF">2026-08-28T15:12:49Z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